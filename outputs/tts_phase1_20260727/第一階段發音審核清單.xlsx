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e5d1a326a642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說明" sheetId="1" r:id="Rb7fc9e9c30f84509"/>
    <x:sheet xmlns:r="http://schemas.openxmlformats.org/officeDocument/2006/relationships" name="樣本候選" sheetId="2" r:id="Rf963575fa68148be"/>
    <x:sheet xmlns:r="http://schemas.openxmlformats.org/officeDocument/2006/relationships" name="特殊寫法" sheetId="3" r:id="R20e10b69457b48f5"/>
    <x:sheet xmlns:r="http://schemas.openxmlformats.org/officeDocument/2006/relationships" name="同字異音" sheetId="4" r:id="R9d6c7e8c0dd544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sz val="11"/>
      <x:color rgb="FF17324D"/>
      <x:name val="Carlito"/>
    </x:font>
    <x:font>
      <x:b/>
      <x:sz val="11"/>
      <x:color rgb="FF5E6B75"/>
      <x:name val="Carlito"/>
    </x:font>
    <x:font>
      <x:b/>
      <x:sz val="16"/>
      <x:color rgb="FF17324D"/>
      <x:name val="Carlito"/>
    </x:font>
    <x:font>
      <x:b/>
      <x:sz val="11"/>
      <x:color rgb="FFFFFFFF"/>
      <x:name val="Carlito"/>
    </x:font>
    <x:font>
      <x:sz val="10"/>
      <x:color rgb="FF1F2933"/>
      <x:name val="Carlito"/>
    </x:font>
    <x:font>
      <x:b/>
      <x:sz val="11"/>
      <x:color rgb="FF17324D"/>
      <x:name val="Carlito"/>
    </x:font>
    <x:font>
      <x:sz val="11"/>
      <x:color rgb="FF4A3A13"/>
      <x:name val="Carlito"/>
    </x:font>
    <x:font>
      <x:b/>
      <x:sz val="11"/>
      <x:color rgb="FF6F4A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FF3F4"/>
      </x:patternFill>
    </x:fill>
    <x:fill>
      <x:patternFill patternType="solid">
        <x:fgColor rgb="FFEEF2F5"/>
      </x:patternFill>
    </x:fill>
    <x:fill>
      <x:patternFill patternType="solid">
        <x:fgColor rgb="FFE4F3E8"/>
      </x:patternFill>
    </x:fill>
    <x:fill>
      <x:patternFill patternType="solid">
        <x:fgColor rgb="FF177E89"/>
      </x:patternFill>
    </x:fill>
    <x:fill>
      <x:patternFill patternType="solid">
        <x:fgColor rgb="FFE3A62F"/>
      </x:patternFill>
    </x:fill>
    <x:fill>
      <x:patternFill patternType="solid">
        <x:fgColor rgb="FFFFFBED"/>
      </x:patternFill>
    </x:fill>
    <x:fill>
      <x:patternFill patternType="solid">
        <x:fgColor rgb="FFFFF4D6"/>
      </x:patternFill>
    </x:fill>
  </x:fills>
  <x:borders count="11">
    <x:border/>
    <x:border>
      <x:left style="thin">
        <x:color rgb="FFCAD4DC"/>
      </x:left>
      <x:top style="thin">
        <x:color rgb="FFCAD4DC"/>
      </x:top>
    </x:border>
    <x:border>
      <x:top style="thin">
        <x:color rgb="FFCAD4DC"/>
      </x:top>
    </x:border>
    <x:border>
      <x:right style="thin">
        <x:color rgb="FFCAD4DC"/>
      </x:right>
      <x:top style="thin">
        <x:color rgb="FFCAD4DC"/>
      </x:top>
    </x:border>
    <x:border>
      <x:left style="thin">
        <x:color rgb="FFCAD4DC"/>
      </x:left>
      <x:bottom style="thin">
        <x:color rgb="FFCAD4DC"/>
      </x:bottom>
    </x:border>
    <x:border>
      <x:bottom style="thin">
        <x:color rgb="FFCAD4DC"/>
      </x:bottom>
    </x:border>
    <x:border>
      <x:right style="thin">
        <x:color rgb="FFCAD4DC"/>
      </x:right>
      <x:bottom style="thin">
        <x:color rgb="FFCAD4DC"/>
      </x:bottom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top style="thin">
        <x:color rgb="FFCAD4DC"/>
      </x:top>
      <x:bottom style="thin">
        <x:color rgb="FFCAD4DC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5" fillId="4" borderId="4" xfId="0" applyNumberFormat="1" applyFont="1" applyFill="1" applyBorder="1" applyAlignment="1">
      <x:alignment horizontal="center" vertical="center"/>
    </x:xf>
    <x:xf numFmtId="0" fontId="5" fillId="4" borderId="5" xfId="0" applyNumberFormat="1" applyFont="1" applyFill="1" applyBorder="1" applyAlignment="1">
      <x:alignment horizontal="center" vertical="center"/>
    </x:xf>
    <x:xf numFmtId="0" fontId="5" fillId="4" borderId="6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8" xfId="0" applyNumberFormat="1" applyFont="1" applyFill="1" applyBorder="1" applyAlignment="1">
      <x:alignment horizontal="center" wrapText="1"/>
    </x:xf>
    <x:xf numFmtId="0" fontId="6" fillId="6" borderId="9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6" fillId="6" borderId="8" xfId="0" applyNumberFormat="1" applyFont="1" applyFill="1" applyBorder="1" applyAlignment="1">
      <x:alignment horizontal="center" vertical="center" wrapText="1"/>
    </x:xf>
    <x:xf numFmtId="0" fontId="6" fillId="6" borderId="9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0" fontId="7" fillId="0" borderId="10" xfId="0" applyNumberFormat="1" applyFont="1" applyFill="1" applyBorder="1"/>
    <x:xf numFmtId="0" fontId="7" fillId="0" borderId="5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200" fontId="7" fillId="0" borderId="5" xfId="0" applyNumberFormat="1" applyFont="1" applyFill="1" applyBorder="1" applyAlignment="1">
      <x:alignment vertical="top" wrapText="1"/>
    </x:xf>
    <x:xf numFmtId="200" fontId="7" fillId="0" borderId="10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horizontal="center" vertical="top" wrapText="1"/>
    </x:xf>
    <x:xf numFmtId="0" fontId="7" fillId="0" borderId="10" xfId="0" applyNumberFormat="1" applyFont="1" applyFill="1" applyBorder="1" applyAlignment="1">
      <x:alignment horizontal="center" vertical="top" wrapText="1"/>
    </x:xf>
    <x:xf numFmtId="200" fontId="7" fillId="0" borderId="5" xfId="0" applyNumberFormat="1" applyFont="1" applyFill="1" applyBorder="1" applyAlignment="1">
      <x:alignment horizontal="center" vertical="top" wrapText="1"/>
    </x:xf>
    <x:xf numFmtId="200" fontId="7" fillId="0" borderId="10" xfId="0" applyNumberFormat="1" applyFont="1" applyFill="1" applyBorder="1" applyAlignment="1">
      <x:alignment horizontal="center" vertical="top" wrapText="1"/>
    </x:xf>
    <x:xf numFmtId="201" fontId="7" fillId="0" borderId="5" xfId="0" applyNumberFormat="1" applyFont="1" applyFill="1" applyBorder="1" applyAlignment="1">
      <x:alignment vertical="top" wrapText="1"/>
    </x:xf>
    <x:xf numFmtId="201" fontId="7" fillId="0" borderId="10" xfId="0" applyNumberFormat="1" applyFont="1" applyFill="1" applyBorder="1" applyAlignment="1">
      <x:alignment vertical="top" wrapText="1"/>
    </x:xf>
    <x:xf numFmtId="201" fontId="7" fillId="0" borderId="5" xfId="0" applyNumberFormat="1" applyFont="1" applyFill="1" applyBorder="1" applyAlignment="1">
      <x:alignment horizontal="center" vertical="top" wrapText="1"/>
    </x:xf>
    <x:xf numFmtId="201" fontId="7" fillId="0" borderId="1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2">
    <x:dxf>
      <x:font>
        <x:b/>
        <x:color rgb="FF7A5200"/>
      </x:font>
      <x:fill>
        <x:patternFill patternType="solid">
          <x:bgColor rgb="FFFFF4D6"/>
        </x:patternFill>
      </x:fill>
    </x:dxf>
    <x:dxf>
      <x:font>
        <x:b/>
        <x:color rgb="FF23613A"/>
      </x:font>
      <x:fill>
        <x:patternFill patternType="solid">
          <x:bgColor rgb="FFE4F3E8"/>
        </x:patternFill>
      </x:fill>
    </x:dxf>
    <x:dxf>
      <x:font>
        <x:b/>
        <x:color rgb="FF8C2525"/>
      </x:font>
      <x:fill>
        <x:patternFill patternType="solid">
          <x:bgColor rgb="FFFDE7E7"/>
        </x:patternFill>
      </x:fill>
    </x:dxf>
    <x:dxf>
      <x:font>
        <x:b/>
        <x:color rgb="FF7A5200"/>
      </x:font>
      <x:fill>
        <x:patternFill patternType="solid">
          <x:bgColor rgb="FFFFF4D6"/>
        </x:patternFill>
      </x:fill>
    </x:dxf>
    <x:dxf>
      <x:font>
        <x:b/>
        <x:color rgb="FF23613A"/>
      </x:font>
      <x:fill>
        <x:patternFill patternType="solid">
          <x:bgColor rgb="FFE4F3E8"/>
        </x:patternFill>
      </x:fill>
    </x:dxf>
    <x:dxf>
      <x:font>
        <x:b/>
        <x:color rgb="FF8C2525"/>
      </x:font>
      <x:fill>
        <x:patternFill patternType="solid">
          <x:bgColor rgb="FFFDE7E7"/>
        </x:patternFill>
      </x:fill>
    </x:dxf>
    <x:dxf>
      <x:font>
        <x:b/>
        <x:color rgb="FF7A5200"/>
      </x:font>
      <x:fill>
        <x:patternFill patternType="solid">
          <x:bgColor rgb="FFFFF4D6"/>
        </x:patternFill>
      </x:fill>
    </x:dxf>
    <x:dxf>
      <x:font>
        <x:b/>
        <x:color rgb="FF23613A"/>
      </x:font>
      <x:fill>
        <x:patternFill patternType="solid">
          <x:bgColor rgb="FFE4F3E8"/>
        </x:patternFill>
      </x:fill>
    </x:dxf>
    <x:dxf>
      <x:font>
        <x:b/>
        <x:color rgb="FF8C2525"/>
      </x:font>
      <x:fill>
        <x:patternFill patternType="solid">
          <x:bgColor rgb="FFFDE7E7"/>
        </x:patternFill>
      </x:fill>
    </x:dxf>
    <x:dxf>
      <x:font>
        <x:b/>
        <x:color rgb="FF7A5200"/>
      </x:font>
      <x:fill>
        <x:patternFill patternType="solid">
          <x:bgColor rgb="FFFFF4D6"/>
        </x:patternFill>
      </x:fill>
    </x:dxf>
    <x:dxf>
      <x:font>
        <x:b/>
        <x:color rgb="FF23613A"/>
      </x:font>
      <x:fill>
        <x:patternFill patternType="solid">
          <x:bgColor rgb="FFE4F3E8"/>
        </x:patternFill>
      </x:fill>
    </x:dxf>
    <x:dxf>
      <x:font>
        <x:b/>
        <x:color rgb="FF8C2525"/>
      </x:font>
      <x:fill>
        <x:patternFill patternType="solid">
          <x:bgColor rgb="FFFD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db2d03e984468c" /><Relationship Type="http://schemas.openxmlformats.org/officeDocument/2006/relationships/theme" Target="/xl/theme/theme1.xml" Id="R6135b31467f14fb3" /><Relationship Type="http://schemas.openxmlformats.org/officeDocument/2006/relationships/sharedStrings" Target="/xl/sharedStrings.xml" Id="R1f80e2ac6cae4c46" /><Relationship Type="http://schemas.openxmlformats.org/officeDocument/2006/relationships/worksheet" Target="/xl/worksheets/sheet1.xml" Id="Rb7fc9e9c30f84509" /><Relationship Type="http://schemas.openxmlformats.org/officeDocument/2006/relationships/worksheet" Target="/xl/worksheets/sheet2.xml" Id="Rf963575fa68148be" /><Relationship Type="http://schemas.openxmlformats.org/officeDocument/2006/relationships/worksheet" Target="/xl/worksheets/sheet3.xml" Id="R20e10b69457b48f5" /><Relationship Type="http://schemas.openxmlformats.org/officeDocument/2006/relationships/worksheet" Target="/xl/worksheets/sheet4.xml" Id="R9d6c7e8c0dd544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50" hidden="0" customWidth="1"/>
    <x:col min="4" max="4" width="3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4" customHeight="1">
      <x:c r="A1" s="4" t="str">
        <x:v>第一階段發音審核清單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8" t="str">
        <x:v>本檔只整理資料，尚未呼叫 OpenAI API、尚未產生音檔或費用。先確認朗讀文字，再進入 marin／cedar 樣本比較。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28" customHeight="1">
      <x:c r="A4" s="29" t="str">
        <x:v>樣本候選</x:v>
      </x:c>
      <x:c r="B4" s="30"/>
      <x:c r="C4" s="30" t="str">
        <x:v>特殊寫法</x:v>
      </x:c>
      <x:c r="D4" s="30"/>
      <x:c r="E4" s="30" t="str">
        <x:v>同字異音</x:v>
      </x:c>
      <x:c r="F4" s="30"/>
      <x:c r="G4" s="30" t="str">
        <x:v>不重複文字</x:v>
      </x:c>
      <x:c r="H4" s="30"/>
      <x:c r="I4" s="30" t="str">
        <x:v>API 狀態</x:v>
      </x:c>
      <x:c r="J4" s="31"/>
    </x:row>
    <x:row r="5" ht="28" customHeight="1">
      <x:c r="A5" s="32" t="n">
        <x:f>COUNTA('樣本候選'!A6:A1000)</x:f>
        <x:v>20</x:v>
      </x:c>
      <x:c r="B5" s="33"/>
      <x:c r="C5" s="33" t="n">
        <x:f>COUNTA('特殊寫法'!A6:A1000)</x:f>
        <x:v>126</x:v>
      </x:c>
      <x:c r="D5" s="33"/>
      <x:c r="E5" s="33" t="n">
        <x:f>COUNTA('同字異音'!A6:A1000)</x:f>
        <x:v>24</x:v>
      </x:c>
      <x:c r="F5" s="33"/>
      <x:c r="G5" s="33" t="n">
        <x:f>2568</x:f>
        <x:v>2568</x:v>
      </x:c>
      <x:c r="H5" s="33"/>
      <x:c r="I5" s="35" t="str">
        <x:v>尚未呼叫</x:v>
      </x:c>
      <x:c r="J5" s="36"/>
    </x:row>
    <x:row r="8" ht="30" customHeight="1">
      <x:c r="A8" s="48" t="str">
        <x:v>階段</x:v>
      </x:c>
      <x:c r="B8" s="49" t="str">
        <x:v>狀態</x:v>
      </x:c>
      <x:c r="C8" s="49" t="str">
        <x:v>工作內容</x:v>
      </x:c>
      <x:c r="D8" s="50" t="str">
        <x:v>進入下一階段前的確認</x:v>
      </x:c>
    </x:row>
    <x:row r="9">
      <x:c r="A9" s="56" t="str">
        <x:v>1</x:v>
      </x:c>
      <x:c r="B9" s="56" t="str">
        <x:v>進行中</x:v>
      </x:c>
      <x:c r="C9" s="56" t="str">
        <x:v>整理特殊符號、文法代號與同字異音</x:v>
      </x:c>
      <x:c r="D9" s="56" t="str">
        <x:v>Ivan 確認本活頁簿</x:v>
      </x:c>
    </x:row>
    <x:row r="10">
      <x:c r="A10" s="57" t="str">
        <x:v>2</x:v>
      </x:c>
      <x:c r="B10" s="57" t="str">
        <x:v>未開始</x:v>
      </x:c>
      <x:c r="C10" s="57" t="str">
        <x:v>marin／cedar 各產生 20 個樣本</x:v>
      </x:c>
      <x:c r="D10" s="57" t="str">
        <x:v>選定聲音、速度與語氣</x:v>
      </x:c>
    </x:row>
    <x:row r="11">
      <x:c r="A11" s="57" t="str">
        <x:v>3</x:v>
      </x:c>
      <x:c r="B11" s="57" t="str">
        <x:v>未開始</x:v>
      </x:c>
      <x:c r="C11" s="57" t="str">
        <x:v>挑 1 個單元產生完整 MP3</x:v>
      </x:c>
      <x:c r="D11" s="57" t="str">
        <x:v>三星及其他手機實測</x:v>
      </x:c>
    </x:row>
    <x:row r="12">
      <x:c r="A12" s="57" t="str">
        <x:v>4</x:v>
      </x:c>
      <x:c r="B12" s="57" t="str">
        <x:v>未開始</x:v>
      </x:c>
      <x:c r="C12" s="57" t="str">
        <x:v>批次產生全部 MP3，支援續跑</x:v>
      </x:c>
      <x:c r="D12" s="57" t="str">
        <x:v>抽查發音與檔案數量</x:v>
      </x:c>
    </x:row>
    <x:row r="13">
      <x:c r="A13" s="57" t="str">
        <x:v>5</x:v>
      </x:c>
      <x:c r="B13" s="57" t="str">
        <x:v>未開始</x:v>
      </x:c>
      <x:c r="C13" s="57" t="str">
        <x:v>網站優先播放 MP3，手機 TTS 備援</x:v>
      </x:c>
      <x:c r="D13" s="57" t="str">
        <x:v>顯示 AI 語音揭露文字</x:v>
      </x:c>
    </x:row>
    <x:row r="16">
      <x:c r="A16" s="59" t="str">
        <x:v>審核原則</x:v>
      </x:c>
      <x:c r="B16" s="59"/>
      <x:c r="C16" s="59"/>
      <x:c r="D16" s="59"/>
      <x:c r="E16" s="59"/>
      <x:c r="F16" s="59"/>
      <x:c r="G16" s="59"/>
      <x:c r="H16" s="59"/>
      <x:c r="I16" s="59"/>
      <x:c r="J16" s="59"/>
    </x:row>
    <x:row r="17" ht="25" customHeight="1">
      <x:c r="A17" s="63" t="str">
        <x:v>1. 「顯示文字」保留教材原貌；「TTS 朗讀文字」才是送給語音模型的自然英文。</x:v>
      </x:c>
      <x:c r="B17" s="63"/>
      <x:c r="C17" s="63"/>
      <x:c r="D17" s="63"/>
      <x:c r="E17" s="63"/>
      <x:c r="F17" s="63"/>
      <x:c r="G17" s="63"/>
      <x:c r="H17" s="63"/>
      <x:c r="I17" s="63"/>
      <x:c r="J17" s="63"/>
    </x:row>
    <x:row r="18" ht="25" customHeight="1">
      <x:c r="A18" s="63" t="str">
        <x:v>2. 含 /、+、V-ing、括號或省略號的資料，不直接批次轉檔。</x:v>
      </x:c>
      <x:c r="B18" s="63"/>
      <x:c r="C18" s="63"/>
      <x:c r="D18" s="63"/>
      <x:c r="E18" s="63"/>
      <x:c r="F18" s="63"/>
      <x:c r="G18" s="63"/>
      <x:c r="H18" s="63"/>
      <x:c r="I18" s="63"/>
      <x:c r="J18" s="63"/>
    </x:row>
    <x:row r="19" ht="25" customHeight="1">
      <x:c r="A19" s="63" t="str">
        <x:v>3. 同字異音依詞性或中文意思建立不同 pronunciation key。</x:v>
      </x:c>
      <x:c r="B19" s="63"/>
      <x:c r="C19" s="63"/>
      <x:c r="D19" s="63"/>
      <x:c r="E19" s="63"/>
      <x:c r="F19" s="63"/>
      <x:c r="G19" s="63"/>
      <x:c r="H19" s="63"/>
      <x:c r="I19" s="63"/>
      <x:c r="J19" s="63"/>
    </x:row>
    <x:row r="20" ht="25" customHeight="1">
      <x:c r="A20" s="63" t="str">
        <x:v>4. 審核欄可選：待確認、已確認、需修改、不處理。</x:v>
      </x:c>
      <x:c r="B20" s="63"/>
      <x:c r="C20" s="63"/>
      <x:c r="D20" s="63"/>
      <x:c r="E20" s="63"/>
      <x:c r="F20" s="63"/>
      <x:c r="G20" s="63"/>
      <x:c r="H20" s="63"/>
      <x:c r="I20" s="63"/>
      <x:c r="J20" s="63"/>
    </x:row>
    <x:row r="23" ht="30" customHeight="1">
      <x:c r="A23" s="48" t="str">
        <x:v>資料來源</x:v>
      </x:c>
      <x:c r="B23" s="49" t="str">
        <x:v>位置／網址</x:v>
      </x:c>
      <x:c r="C23" s="49"/>
      <x:c r="D23" s="49"/>
      <x:c r="E23" s="49"/>
      <x:c r="F23" s="49"/>
      <x:c r="G23" s="49"/>
      <x:c r="H23" s="49"/>
      <x:c r="I23" s="49"/>
      <x:c r="J23" s="50"/>
    </x:row>
    <x:row r="24" ht="24" customHeight="1">
      <x:c r="A24" s="56" t="str">
        <x:v>本地教材資料</x:v>
      </x:c>
      <x:c r="B24" s="56" t="str">
        <x:v>data*.json 與 data_advanced.json</x:v>
      </x:c>
      <x:c r="C24" s="56"/>
      <x:c r="D24" s="56"/>
      <x:c r="E24" s="56"/>
      <x:c r="F24" s="56"/>
      <x:c r="G24" s="56"/>
      <x:c r="H24" s="56"/>
      <x:c r="I24" s="56"/>
      <x:c r="J24" s="56"/>
    </x:row>
    <x:row r="25" ht="24" customHeight="1">
      <x:c r="A25" s="57" t="str">
        <x:v>OpenAI TTS 指南</x:v>
      </x:c>
      <x:c r="B25" s="57" t="str">
        <x:v>https://developers.openai.com/api/docs/guides/text-to-speech</x:v>
      </x:c>
      <x:c r="C25" s="57"/>
      <x:c r="D25" s="57"/>
      <x:c r="E25" s="57"/>
      <x:c r="F25" s="57"/>
      <x:c r="G25" s="57"/>
      <x:c r="H25" s="57"/>
      <x:c r="I25" s="57"/>
      <x:c r="J25" s="57"/>
    </x:row>
    <x:row r="26" ht="24" customHeight="1">
      <x:c r="A26" s="57" t="str">
        <x:v>建議聲音</x:v>
      </x:c>
      <x:c r="B26" s="57" t="str">
        <x:v>marin、cedar（正式產生前仍需實際試聽）</x:v>
      </x:c>
      <x:c r="C26" s="57"/>
      <x:c r="D26" s="57"/>
      <x:c r="E26" s="57"/>
      <x:c r="F26" s="57"/>
      <x:c r="G26" s="57"/>
      <x:c r="H26" s="57"/>
      <x:c r="I26" s="57"/>
      <x:c r="J26" s="57"/>
    </x:row>
  </x:sheetData>
  <x:mergeCells>
    <x:mergeCell ref="A1:J1"/>
    <x:mergeCell ref="A2:J2"/>
    <x:mergeCell ref="A16:J16"/>
    <x:mergeCell ref="A17:J17"/>
    <x:mergeCell ref="A18:J18"/>
    <x:mergeCell ref="A19:J19"/>
    <x:mergeCell ref="A20:J20"/>
    <x:mergeCell ref="B23:J23"/>
    <x:mergeCell ref="B24:J24"/>
    <x:mergeCell ref="B25:J25"/>
    <x:mergeCell ref="B26:J26"/>
  </x:mergeCells>
  <x:conditionalFormatting sqref="B9:B13">
    <x:cfRule type="containsText" dxfId="0" priority="1" operator="containsText" text="待"/>
    <x:cfRule type="containsText" dxfId="1" priority="2" operator="containsText" text="已確認"/>
    <x:cfRule type="containsText" dxfId="2" priority="3" operator="containsText" text="需修改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31" hidden="0" customWidth="1"/>
    <x:col min="5" max="5" width="28" hidden="0" customWidth="1"/>
    <x:col min="6" max="6" width="28" hidden="0" customWidth="1"/>
    <x:col min="7" max="7" width="12" hidden="0" customWidth="1"/>
    <x:col min="8" max="8" width="12" hidden="0" customWidth="1"/>
    <x:col min="9" max="9" width="15" hidden="0" customWidth="1"/>
    <x:col min="10" max="10" width="15" hidden="0" customWidth="1"/>
  </x:cols>
  <x:sheetData>
    <x:row r="1" ht="34" customHeight="1">
      <x:c r="A1" s="4" t="str">
        <x:v>marin／cedar 聲音比較：20 個候選樣本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8" t="str">
        <x:v>這些項目涵蓋基礎單字、多音節、子音群、問句、片語與同字異音。此頁尚未產生音檔。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>
      <x:c r="A4" s="66" t="str">
        <x:v>請先檢查 C 欄的實際朗讀文字；確認後，每列會各產生 marin 與 cedar 兩個版本。</x:v>
      </x:c>
      <x:c r="B4" s="66"/>
      <x:c r="C4" s="66"/>
      <x:c r="D4" s="66"/>
      <x:c r="E4" s="66"/>
      <x:c r="F4" s="66"/>
      <x:c r="G4" s="66"/>
      <x:c r="H4" s="66"/>
      <x:c r="I4" s="66"/>
      <x:c r="J4" s="66"/>
    </x:row>
    <x:row r="5" ht="30" customHeight="1">
      <x:c r="A5" s="48" t="str">
        <x:v>樣本 ID</x:v>
      </x:c>
      <x:c r="B5" s="49" t="str">
        <x:v>顯示文字</x:v>
      </x:c>
      <x:c r="C5" s="49" t="str">
        <x:v>TTS 朗讀文字</x:v>
      </x:c>
      <x:c r="D5" s="49" t="str">
        <x:v>測試目的</x:v>
      </x:c>
      <x:c r="E5" s="49" t="str">
        <x:v>資料狀態</x:v>
      </x:c>
      <x:c r="F5" s="49" t="str">
        <x:v>來源</x:v>
      </x:c>
      <x:c r="G5" s="49" t="str">
        <x:v>聲音 A</x:v>
      </x:c>
      <x:c r="H5" s="49" t="str">
        <x:v>聲音 B</x:v>
      </x:c>
      <x:c r="I5" s="49" t="str">
        <x:v>建議速度</x:v>
      </x:c>
      <x:c r="J5" s="50" t="str">
        <x:v>審核狀態</x:v>
      </x:c>
    </x:row>
    <x:row r="6" ht="15" hidden="0" customHeight="1">
      <x:c r="A6" s="69" t="str">
        <x:v>P-01</x:v>
      </x:c>
      <x:c r="B6" s="56" t="str">
        <x:v>bedroom</x:v>
      </x:c>
      <x:c r="C6" s="56" t="str">
        <x:v>bedroom</x:v>
      </x:c>
      <x:c r="D6" s="56" t="str">
        <x:v>基礎雙音節單字</x:v>
      </x:c>
      <x:c r="E6" s="56" t="str">
        <x:v>資料中存在</x:v>
      </x:c>
      <x:c r="F6" s="56" t="str">
        <x:v>Book 1 Unit 4-6</x:v>
      </x:c>
      <x:c r="G6" s="69" t="str">
        <x:v>marin</x:v>
      </x:c>
      <x:c r="H6" s="69" t="str">
        <x:v>cedar</x:v>
      </x:c>
      <x:c r="I6" s="71" t="n">
        <x:v>0.88</x:v>
      </x:c>
      <x:c r="J6" s="69" t="str">
        <x:v>待產生樣本</x:v>
      </x:c>
    </x:row>
    <x:row r="7" ht="15" hidden="0" customHeight="1">
      <x:c r="A7" s="70" t="str">
        <x:v>P-02</x:v>
      </x:c>
      <x:c r="B7" s="57" t="str">
        <x:v>apartment</x:v>
      </x:c>
      <x:c r="C7" s="57" t="str">
        <x:v>apartment</x:v>
      </x:c>
      <x:c r="D7" s="57" t="str">
        <x:v>多音節與重音</x:v>
      </x:c>
      <x:c r="E7" s="57" t="str">
        <x:v>資料中存在</x:v>
      </x:c>
      <x:c r="F7" s="57" t="str">
        <x:v>Book 1 Unit 4-6</x:v>
      </x:c>
      <x:c r="G7" s="70" t="str">
        <x:v>marin</x:v>
      </x:c>
      <x:c r="H7" s="70" t="str">
        <x:v>cedar</x:v>
      </x:c>
      <x:c r="I7" s="72" t="n">
        <x:v>0.88</x:v>
      </x:c>
      <x:c r="J7" s="70" t="str">
        <x:v>待產生樣本</x:v>
      </x:c>
    </x:row>
    <x:row r="8" ht="15" hidden="0" customHeight="1">
      <x:c r="A8" s="70" t="str">
        <x:v>P-03</x:v>
      </x:c>
      <x:c r="B8" s="57" t="str">
        <x:v>world</x:v>
      </x:c>
      <x:c r="C8" s="57" t="str">
        <x:v>world</x:v>
      </x:c>
      <x:c r="D8" s="57" t="str">
        <x:v>子音群與 /r/</x:v>
      </x:c>
      <x:c r="E8" s="57" t="str">
        <x:v>資料中存在</x:v>
      </x:c>
      <x:c r="F8" s="57" t="str">
        <x:v>data.json</x:v>
      </x:c>
      <x:c r="G8" s="70" t="str">
        <x:v>marin</x:v>
      </x:c>
      <x:c r="H8" s="70" t="str">
        <x:v>cedar</x:v>
      </x:c>
      <x:c r="I8" s="72" t="n">
        <x:v>0.88</x:v>
      </x:c>
      <x:c r="J8" s="70" t="str">
        <x:v>待產生樣本</x:v>
      </x:c>
    </x:row>
    <x:row r="9" ht="15" hidden="0" customHeight="1">
      <x:c r="A9" s="70" t="str">
        <x:v>P-04</x:v>
      </x:c>
      <x:c r="B9" s="57" t="str">
        <x:v>comfortable</x:v>
      </x:c>
      <x:c r="C9" s="57" t="str">
        <x:v>comfortable</x:v>
      </x:c>
      <x:c r="D9" s="57" t="str">
        <x:v>常見音節省略</x:v>
      </x:c>
      <x:c r="E9" s="57" t="str">
        <x:v>資料中存在</x:v>
      </x:c>
      <x:c r="F9" s="57" t="str">
        <x:v>Book 3 Unit 1-2</x:v>
      </x:c>
      <x:c r="G9" s="70" t="str">
        <x:v>marin</x:v>
      </x:c>
      <x:c r="H9" s="70" t="str">
        <x:v>cedar</x:v>
      </x:c>
      <x:c r="I9" s="72" t="n">
        <x:v>0.88</x:v>
      </x:c>
      <x:c r="J9" s="70" t="str">
        <x:v>待產生樣本</x:v>
      </x:c>
    </x:row>
    <x:row r="10" ht="15" hidden="0" customHeight="1">
      <x:c r="A10" s="70" t="str">
        <x:v>P-05</x:v>
      </x:c>
      <x:c r="B10" s="57" t="str">
        <x:v>vegetable</x:v>
      </x:c>
      <x:c r="C10" s="57" t="str">
        <x:v>vegetable</x:v>
      </x:c>
      <x:c r="D10" s="57" t="str">
        <x:v>常見音節省略</x:v>
      </x:c>
      <x:c r="E10" s="57" t="str">
        <x:v>資料中存在</x:v>
      </x:c>
      <x:c r="F10" s="57" t="str">
        <x:v>Book 2 Unit 5-6</x:v>
      </x:c>
      <x:c r="G10" s="70" t="str">
        <x:v>marin</x:v>
      </x:c>
      <x:c r="H10" s="70" t="str">
        <x:v>cedar</x:v>
      </x:c>
      <x:c r="I10" s="72" t="n">
        <x:v>0.88</x:v>
      </x:c>
      <x:c r="J10" s="70" t="str">
        <x:v>待產生樣本</x:v>
      </x:c>
    </x:row>
    <x:row r="11" ht="15" hidden="0" customHeight="1">
      <x:c r="A11" s="70" t="str">
        <x:v>P-06</x:v>
      </x:c>
      <x:c r="B11" s="57" t="str">
        <x:v>temperature</x:v>
      </x:c>
      <x:c r="C11" s="57" t="str">
        <x:v>temperature</x:v>
      </x:c>
      <x:c r="D11" s="57" t="str">
        <x:v>多音節與自然語速</x:v>
      </x:c>
      <x:c r="E11" s="57" t="str">
        <x:v>資料中存在</x:v>
      </x:c>
      <x:c r="F11" s="57" t="str">
        <x:v>進階 L105</x:v>
      </x:c>
      <x:c r="G11" s="70" t="str">
        <x:v>marin</x:v>
      </x:c>
      <x:c r="H11" s="70" t="str">
        <x:v>cedar</x:v>
      </x:c>
      <x:c r="I11" s="72" t="n">
        <x:v>0.88</x:v>
      </x:c>
      <x:c r="J11" s="70" t="str">
        <x:v>待產生樣本</x:v>
      </x:c>
    </x:row>
    <x:row r="12" ht="15" hidden="0" customHeight="1">
      <x:c r="A12" s="70" t="str">
        <x:v>P-07</x:v>
      </x:c>
      <x:c r="B12" s="57" t="str">
        <x:v>through</x:v>
      </x:c>
      <x:c r="C12" s="57" t="str">
        <x:v>through</x:v>
      </x:c>
      <x:c r="D12" s="57" t="str">
        <x:v>th 與母音</x:v>
      </x:c>
      <x:c r="E12" s="57" t="str">
        <x:v>資料中存在</x:v>
      </x:c>
      <x:c r="F12" s="57" t="str">
        <x:v>Book 6 Unit 1-2</x:v>
      </x:c>
      <x:c r="G12" s="70" t="str">
        <x:v>marin</x:v>
      </x:c>
      <x:c r="H12" s="70" t="str">
        <x:v>cedar</x:v>
      </x:c>
      <x:c r="I12" s="72" t="n">
        <x:v>0.88</x:v>
      </x:c>
      <x:c r="J12" s="70" t="str">
        <x:v>待產生樣本</x:v>
      </x:c>
    </x:row>
    <x:row r="13" ht="15" hidden="0" customHeight="1">
      <x:c r="A13" s="70" t="str">
        <x:v>P-08</x:v>
      </x:c>
      <x:c r="B13" s="57" t="str">
        <x:v>clothes</x:v>
      </x:c>
      <x:c r="C13" s="57" t="str">
        <x:v>clothes</x:v>
      </x:c>
      <x:c r="D13" s="57" t="str">
        <x:v>尾音子音群</x:v>
      </x:c>
      <x:c r="E13" s="57" t="str">
        <x:v>資料中存在</x:v>
      </x:c>
      <x:c r="F13" s="57" t="str">
        <x:v>Book 4 Unit 3-4</x:v>
      </x:c>
      <x:c r="G13" s="70" t="str">
        <x:v>marin</x:v>
      </x:c>
      <x:c r="H13" s="70" t="str">
        <x:v>cedar</x:v>
      </x:c>
      <x:c r="I13" s="72" t="n">
        <x:v>0.88</x:v>
      </x:c>
      <x:c r="J13" s="70" t="str">
        <x:v>待產生樣本</x:v>
      </x:c>
    </x:row>
    <x:row r="14" ht="15" hidden="0" customHeight="1">
      <x:c r="A14" s="70" t="str">
        <x:v>P-09</x:v>
      </x:c>
      <x:c r="B14" s="57" t="str">
        <x:v>read</x:v>
      </x:c>
      <x:c r="C14" s="57" t="str">
        <x:v>read</x:v>
      </x:c>
      <x:c r="D14" s="57" t="str">
        <x:v>單字本身可能受時態影響</x:v>
      </x:c>
      <x:c r="E14" s="57" t="str">
        <x:v>資料中存在</x:v>
      </x:c>
      <x:c r="F14" s="57" t="str">
        <x:v>Book 2 Unit 1-2</x:v>
      </x:c>
      <x:c r="G14" s="70" t="str">
        <x:v>marin</x:v>
      </x:c>
      <x:c r="H14" s="70" t="str">
        <x:v>cedar</x:v>
      </x:c>
      <x:c r="I14" s="72" t="n">
        <x:v>0.88</x:v>
      </x:c>
      <x:c r="J14" s="70" t="str">
        <x:v>待產生樣本</x:v>
      </x:c>
    </x:row>
    <x:row r="15" ht="15" hidden="0" customHeight="1">
      <x:c r="A15" s="70" t="str">
        <x:v>P-10</x:v>
      </x:c>
      <x:c r="B15" s="57" t="str">
        <x:v>present</x:v>
      </x:c>
      <x:c r="C15" s="57" t="str">
        <x:v>present</x:v>
      </x:c>
      <x:c r="D15" s="57" t="str">
        <x:v>同字異音：名詞／形容詞與動詞</x:v>
      </x:c>
      <x:c r="E15" s="57" t="str">
        <x:v>資料中存在</x:v>
      </x:c>
      <x:c r="F15" s="57" t="str">
        <x:v>Book 5 Unit 1-2</x:v>
      </x:c>
      <x:c r="G15" s="70" t="str">
        <x:v>marin</x:v>
      </x:c>
      <x:c r="H15" s="70" t="str">
        <x:v>cedar</x:v>
      </x:c>
      <x:c r="I15" s="72" t="n">
        <x:v>0.88</x:v>
      </x:c>
      <x:c r="J15" s="70" t="str">
        <x:v>待產生樣本</x:v>
      </x:c>
    </x:row>
    <x:row r="16" ht="15" hidden="0" customHeight="1">
      <x:c r="A16" s="70" t="str">
        <x:v>P-11</x:v>
      </x:c>
      <x:c r="B16" s="57" t="str">
        <x:v>record</x:v>
      </x:c>
      <x:c r="C16" s="57" t="str">
        <x:v>record</x:v>
      </x:c>
      <x:c r="D16" s="57" t="str">
        <x:v>同字異音：名詞與動詞</x:v>
      </x:c>
      <x:c r="E16" s="57" t="str">
        <x:v>資料中存在</x:v>
      </x:c>
      <x:c r="F16" s="57" t="str">
        <x:v>進階 L73</x:v>
      </x:c>
      <x:c r="G16" s="70" t="str">
        <x:v>marin</x:v>
      </x:c>
      <x:c r="H16" s="70" t="str">
        <x:v>cedar</x:v>
      </x:c>
      <x:c r="I16" s="72" t="n">
        <x:v>0.88</x:v>
      </x:c>
      <x:c r="J16" s="70" t="str">
        <x:v>待產生樣本</x:v>
      </x:c>
    </x:row>
    <x:row r="17" ht="15" hidden="0" customHeight="1">
      <x:c r="A17" s="70" t="str">
        <x:v>P-12</x:v>
      </x:c>
      <x:c r="B17" s="57" t="str">
        <x:v>bow</x:v>
      </x:c>
      <x:c r="C17" s="57" t="str">
        <x:v>bow</x:v>
      </x:c>
      <x:c r="D17" s="57" t="str">
        <x:v>同字異音：蝴蝶結與鞠躬</x:v>
      </x:c>
      <x:c r="E17" s="57" t="str">
        <x:v>資料中存在</x:v>
      </x:c>
      <x:c r="F17" s="57" t="str">
        <x:v>Book 4 Unit 3-4</x:v>
      </x:c>
      <x:c r="G17" s="70" t="str">
        <x:v>marin</x:v>
      </x:c>
      <x:c r="H17" s="70" t="str">
        <x:v>cedar</x:v>
      </x:c>
      <x:c r="I17" s="72" t="n">
        <x:v>0.88</x:v>
      </x:c>
      <x:c r="J17" s="70" t="str">
        <x:v>待產生樣本</x:v>
      </x:c>
    </x:row>
    <x:row r="18" ht="15" hidden="0" customHeight="1">
      <x:c r="A18" s="70" t="str">
        <x:v>P-13</x:v>
      </x:c>
      <x:c r="B18" s="57" t="str">
        <x:v>close</x:v>
      </x:c>
      <x:c r="C18" s="57" t="str">
        <x:v>close</x:v>
      </x:c>
      <x:c r="D18" s="57" t="str">
        <x:v>同字異音：形容詞與動詞</x:v>
      </x:c>
      <x:c r="E18" s="57" t="str">
        <x:v>資料中存在</x:v>
      </x:c>
      <x:c r="F18" s="57" t="str">
        <x:v>Book 1 Unit 4-6</x:v>
      </x:c>
      <x:c r="G18" s="70" t="str">
        <x:v>marin</x:v>
      </x:c>
      <x:c r="H18" s="70" t="str">
        <x:v>cedar</x:v>
      </x:c>
      <x:c r="I18" s="72" t="n">
        <x:v>0.88</x:v>
      </x:c>
      <x:c r="J18" s="70" t="str">
        <x:v>待產生樣本</x:v>
      </x:c>
    </x:row>
    <x:row r="19" ht="15" hidden="0" customHeight="1">
      <x:c r="A19" s="70" t="str">
        <x:v>P-14</x:v>
      </x:c>
      <x:c r="B19" s="57" t="str">
        <x:v>living room</x:v>
      </x:c>
      <x:c r="C19" s="57" t="str">
        <x:v>living room</x:v>
      </x:c>
      <x:c r="D19" s="57" t="str">
        <x:v>自然片語節奏</x:v>
      </x:c>
      <x:c r="E19" s="57" t="str">
        <x:v>資料中存在</x:v>
      </x:c>
      <x:c r="F19" s="57" t="str">
        <x:v>Book 1 Unit 4-6</x:v>
      </x:c>
      <x:c r="G19" s="70" t="str">
        <x:v>marin</x:v>
      </x:c>
      <x:c r="H19" s="70" t="str">
        <x:v>cedar</x:v>
      </x:c>
      <x:c r="I19" s="72" t="n">
        <x:v>0.88</x:v>
      </x:c>
      <x:c r="J19" s="70" t="str">
        <x:v>待產生樣本</x:v>
      </x:c>
    </x:row>
    <x:row r="20" ht="24" hidden="0" customHeight="1">
      <x:c r="A20" s="70" t="str">
        <x:v>P-15</x:v>
      </x:c>
      <x:c r="B20" s="57" t="str">
        <x:v>take a seat</x:v>
      </x:c>
      <x:c r="C20" s="57" t="str">
        <x:v>take a seat</x:v>
      </x:c>
      <x:c r="D20" s="57" t="str">
        <x:v>短片語連音</x:v>
      </x:c>
      <x:c r="E20" s="57" t="str">
        <x:v>測試用改寫／資料中未找到完全相同文字</x:v>
      </x:c>
      <x:c r="F20" s="57" t="str">
        <x:v>測試樣本</x:v>
      </x:c>
      <x:c r="G20" s="70" t="str">
        <x:v>marin</x:v>
      </x:c>
      <x:c r="H20" s="70" t="str">
        <x:v>cedar</x:v>
      </x:c>
      <x:c r="I20" s="72" t="n">
        <x:v>0.88</x:v>
      </x:c>
      <x:c r="J20" s="70" t="str">
        <x:v>待產生樣本</x:v>
      </x:c>
    </x:row>
    <x:row r="21" ht="24" hidden="0" customHeight="1">
      <x:c r="A21" s="70" t="str">
        <x:v>P-16</x:v>
      </x:c>
      <x:c r="B21" s="57" t="str">
        <x:v>keep in touch</x:v>
      </x:c>
      <x:c r="C21" s="57" t="str">
        <x:v>keep in touch</x:v>
      </x:c>
      <x:c r="D21" s="57" t="str">
        <x:v>短片語重音與連音</x:v>
      </x:c>
      <x:c r="E21" s="57" t="str">
        <x:v>測試用改寫／資料中未找到完全相同文字</x:v>
      </x:c>
      <x:c r="F21" s="57" t="str">
        <x:v>測試樣本</x:v>
      </x:c>
      <x:c r="G21" s="70" t="str">
        <x:v>marin</x:v>
      </x:c>
      <x:c r="H21" s="70" t="str">
        <x:v>cedar</x:v>
      </x:c>
      <x:c r="I21" s="72" t="n">
        <x:v>0.88</x:v>
      </x:c>
      <x:c r="J21" s="70" t="str">
        <x:v>待產生樣本</x:v>
      </x:c>
    </x:row>
    <x:row r="22" ht="15" hidden="0" customHeight="1">
      <x:c r="A22" s="70" t="str">
        <x:v>P-17</x:v>
      </x:c>
      <x:c r="B22" s="57" t="str">
        <x:v>For here or to go?</x:v>
      </x:c>
      <x:c r="C22" s="57" t="str">
        <x:v>for here or to go?</x:v>
      </x:c>
      <x:c r="D22" s="57" t="str">
        <x:v>問句語調</x:v>
      </x:c>
      <x:c r="E22" s="57" t="str">
        <x:v>資料中存在</x:v>
      </x:c>
      <x:c r="F22" s="57" t="str">
        <x:v>Book 2 Unit 5-6</x:v>
      </x:c>
      <x:c r="G22" s="70" t="str">
        <x:v>marin</x:v>
      </x:c>
      <x:c r="H22" s="70" t="str">
        <x:v>cedar</x:v>
      </x:c>
      <x:c r="I22" s="72" t="n">
        <x:v>0.88</x:v>
      </x:c>
      <x:c r="J22" s="70" t="str">
        <x:v>待產生樣本</x:v>
      </x:c>
    </x:row>
    <x:row r="23" ht="24" hidden="0" customHeight="1">
      <x:c r="A23" s="70" t="str">
        <x:v>P-18</x:v>
      </x:c>
      <x:c r="B23" s="57" t="str">
        <x:v>what's wrong?</x:v>
      </x:c>
      <x:c r="C23" s="57" t="str">
        <x:v>what's wrong?</x:v>
      </x:c>
      <x:c r="D23" s="57" t="str">
        <x:v>縮寫與問句語調</x:v>
      </x:c>
      <x:c r="E23" s="57" t="str">
        <x:v>測試用改寫／資料中未找到完全相同文字</x:v>
      </x:c>
      <x:c r="F23" s="57" t="str">
        <x:v>測試樣本</x:v>
      </x:c>
      <x:c r="G23" s="70" t="str">
        <x:v>marin</x:v>
      </x:c>
      <x:c r="H23" s="70" t="str">
        <x:v>cedar</x:v>
      </x:c>
      <x:c r="I23" s="72" t="n">
        <x:v>0.88</x:v>
      </x:c>
      <x:c r="J23" s="70" t="str">
        <x:v>待產生樣本</x:v>
      </x:c>
    </x:row>
    <x:row r="24" ht="24" hidden="0" customHeight="1">
      <x:c r="A24" s="70" t="str">
        <x:v>P-19</x:v>
      </x:c>
      <x:c r="B24" s="57" t="str">
        <x:v>thanks for helping</x:v>
      </x:c>
      <x:c r="C24" s="57" t="str">
        <x:v>thanks for helping</x:v>
      </x:c>
      <x:c r="D24" s="57" t="str">
        <x:v>測試 V-ing 的自然朗讀</x:v>
      </x:c>
      <x:c r="E24" s="57" t="str">
        <x:v>測試用改寫／資料中未找到完全相同文字</x:v>
      </x:c>
      <x:c r="F24" s="57" t="str">
        <x:v>測試樣本</x:v>
      </x:c>
      <x:c r="G24" s="70" t="str">
        <x:v>marin</x:v>
      </x:c>
      <x:c r="H24" s="70" t="str">
        <x:v>cedar</x:v>
      </x:c>
      <x:c r="I24" s="72" t="n">
        <x:v>0.88</x:v>
      </x:c>
      <x:c r="J24" s="70" t="str">
        <x:v>待產生樣本</x:v>
      </x:c>
    </x:row>
    <x:row r="25" ht="24" hidden="0" customHeight="1">
      <x:c r="A25" s="70" t="str">
        <x:v>P-20</x:v>
      </x:c>
      <x:c r="B25" s="57" t="str">
        <x:v>do your best</x:v>
      </x:c>
      <x:c r="C25" s="57" t="str">
        <x:v>do your best</x:v>
      </x:c>
      <x:c r="D25" s="57" t="str">
        <x:v>將 one's 具體化後的自然版本</x:v>
      </x:c>
      <x:c r="E25" s="57" t="str">
        <x:v>測試用改寫／資料中未找到完全相同文字</x:v>
      </x:c>
      <x:c r="F25" s="57" t="str">
        <x:v>測試樣本</x:v>
      </x:c>
      <x:c r="G25" s="70" t="str">
        <x:v>marin</x:v>
      </x:c>
      <x:c r="H25" s="70" t="str">
        <x:v>cedar</x:v>
      </x:c>
      <x:c r="I25" s="72" t="n">
        <x:v>0.88</x:v>
      </x:c>
      <x:c r="J25" s="70" t="str">
        <x:v>待產生樣本</x:v>
      </x:c>
    </x:row>
  </x:sheetData>
  <x:mergeCells>
    <x:mergeCell ref="A1:J1"/>
    <x:mergeCell ref="A2:J2"/>
    <x:mergeCell ref="A4:J4"/>
  </x:mergeCells>
  <x:conditionalFormatting sqref="J6:J25">
    <x:cfRule type="containsText" dxfId="3" priority="1" operator="containsText" text="待"/>
    <x:cfRule type="containsText" dxfId="4" priority="2" operator="containsText" text="已確認"/>
    <x:cfRule type="containsText" dxfId="5" priority="3" operator="containsText" text="需修改"/>
  </x:conditionalFormatting>
  <x:dataValidations count="1">
    <x:dataValidation type="list" sqref="J6:J25">
      <x:formula1>"待產生樣本,已確認,需修改,不處理"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3" hidden="0" customWidth="1"/>
    <x:col min="3" max="3" width="30" hidden="0" customWidth="1"/>
    <x:col min="4" max="4" width="14" hidden="0" customWidth="1"/>
    <x:col min="5" max="5" width="27" hidden="0" customWidth="1"/>
    <x:col min="6" max="6" width="36" hidden="0" customWidth="1"/>
    <x:col min="7" max="7" width="43" hidden="0" customWidth="1"/>
    <x:col min="8" max="8" width="13" hidden="0" customWidth="1"/>
    <x:col min="9" max="9" width="28" hidden="0" customWidth="1"/>
    <x:col min="10" max="10" width="11" hidden="0" customWidth="1"/>
    <x:col min="11" max="11" width="28" hidden="0" customWidth="1"/>
  </x:cols>
  <x:sheetData>
    <x:row r="1" ht="34" customHeight="1">
      <x:c r="A1" s="4" t="str">
        <x:v>特殊寫法審核：126 筆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2" customHeight="1">
      <x:c r="A2" s="8" t="str">
        <x:v>包含斜線、加號、V-ing／N 等文法代號、括號、省略號與抽象代名詞。F 欄空白代表不可直接轉檔，需先補自然英文。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4">
      <x:c r="A4" s="65" t="str">
        <x:v>優先審核順序：F 欄空白 → 同時含多種問題 → 出現次數較高。</x:v>
      </x:c>
      <x:c r="B4" s="65"/>
      <x:c r="C4" s="65"/>
      <x:c r="D4" s="65"/>
      <x:c r="E4" s="65"/>
      <x:c r="F4" s="65"/>
      <x:c r="G4" s="65"/>
      <x:c r="H4" s="65"/>
      <x:c r="I4" s="65"/>
      <x:c r="J4" s="65"/>
      <x:c r="K4" s="65"/>
    </x:row>
    <x:row r="5" ht="30" customHeight="1">
      <x:c r="A5" s="48" t="str">
        <x:v>審核 ID</x:v>
      </x:c>
      <x:c r="B5" s="49" t="str">
        <x:v>顯示文字</x:v>
      </x:c>
      <x:c r="C5" s="49" t="str">
        <x:v>中文</x:v>
      </x:c>
      <x:c r="D5" s="49" t="str">
        <x:v>詞性</x:v>
      </x:c>
      <x:c r="E5" s="49" t="str">
        <x:v>問題類型</x:v>
      </x:c>
      <x:c r="F5" s="49" t="str">
        <x:v>朗讀草案</x:v>
      </x:c>
      <x:c r="G5" s="49" t="str">
        <x:v>建議處理方式</x:v>
      </x:c>
      <x:c r="H5" s="49" t="str">
        <x:v>審核狀態</x:v>
      </x:c>
      <x:c r="I5" s="49" t="str">
        <x:v>來源</x:v>
      </x:c>
      <x:c r="J5" s="49" t="str">
        <x:v>出現次數</x:v>
      </x:c>
      <x:c r="K5" s="50" t="str">
        <x:v>正規化 key</x:v>
      </x:c>
    </x:row>
    <x:row r="6" ht="24" hidden="0" customHeight="1">
      <x:c r="A6" s="69" t="str">
        <x:v>S-001</x:v>
      </x:c>
      <x:c r="B6" s="56" t="str">
        <x:v>have problems + with N / (in) V-ing</x:v>
      </x:c>
      <x:c r="C6" s="56" t="str">
        <x:v>做......有問題</x:v>
      </x:c>
      <x:c r="D6" s="56" t="str"/>
      <x:c r="E6" s="56" t="str">
        <x:v>斜線替代寫法、加號文法代號、括號選用字、文法縮寫</x:v>
      </x:c>
      <x:c r="F6" s="56" t="str"/>
      <x:c r="G6" s="56" t="str">
        <x:v>不要直接轉檔；先改成完整自然例句或拆成固定片語</x:v>
      </x:c>
      <x:c r="H6" s="69" t="str">
        <x:v>待確認</x:v>
      </x:c>
      <x:c r="I6" s="69" t="str">
        <x:v>Book 1 Unit 4-6</x:v>
      </x:c>
      <x:c r="J6" s="75" t="n">
        <x:v>1</x:v>
      </x:c>
      <x:c r="K6" s="56" t="str">
        <x:v>have problems + with n / (in) v-ing</x:v>
      </x:c>
    </x:row>
    <x:row r="7" ht="24" hidden="0" customHeight="1">
      <x:c r="A7" s="70" t="str">
        <x:v>S-002</x:v>
      </x:c>
      <x:c r="B7" s="57" t="str">
        <x:v>be busy + V-ing / with N</x:v>
      </x:c>
      <x:c r="C7" s="57" t="str">
        <x:v>忙於......</x:v>
      </x:c>
      <x:c r="D7" s="57" t="str"/>
      <x:c r="E7" s="57" t="str">
        <x:v>斜線替代寫法、加號文法代號、文法縮寫</x:v>
      </x:c>
      <x:c r="F7" s="57" t="str"/>
      <x:c r="G7" s="57" t="str">
        <x:v>不要直接轉檔；先改成完整自然例句或拆成固定片語</x:v>
      </x:c>
      <x:c r="H7" s="70" t="str">
        <x:v>待確認</x:v>
      </x:c>
      <x:c r="I7" s="70" t="str">
        <x:v>data.json</x:v>
      </x:c>
      <x:c r="J7" s="76" t="n">
        <x:v>1</x:v>
      </x:c>
      <x:c r="K7" s="57" t="str">
        <x:v>be busy + v-ing / with n</x:v>
      </x:c>
    </x:row>
    <x:row r="8" ht="24" hidden="0" customHeight="1">
      <x:c r="A8" s="70" t="str">
        <x:v>S-003</x:v>
      </x:c>
      <x:c r="B8" s="57" t="str">
        <x:v>thanks for + V-ing / N</x:v>
      </x:c>
      <x:c r="C8" s="57" t="str">
        <x:v>感謝……</x:v>
      </x:c>
      <x:c r="D8" s="57" t="str"/>
      <x:c r="E8" s="57" t="str">
        <x:v>斜線替代寫法、加號文法代號、文法縮寫</x:v>
      </x:c>
      <x:c r="F8" s="57" t="str"/>
      <x:c r="G8" s="57" t="str">
        <x:v>不要直接轉檔；先改成完整自然例句或拆成固定片語</x:v>
      </x:c>
      <x:c r="H8" s="70" t="str">
        <x:v>待確認</x:v>
      </x:c>
      <x:c r="I8" s="70" t="str">
        <x:v>Book 3 Unit 1-2</x:v>
      </x:c>
      <x:c r="J8" s="76" t="n">
        <x:v>1</x:v>
      </x:c>
      <x:c r="K8" s="57" t="str">
        <x:v>thanks for + v-ing / n</x:v>
      </x:c>
    </x:row>
    <x:row r="9" ht="15" hidden="0" customHeight="1">
      <x:c r="A9" s="70" t="str">
        <x:v>S-004</x:v>
      </x:c>
      <x:c r="B9" s="57" t="str">
        <x:v>decide on + N</x:v>
      </x:c>
      <x:c r="C9" s="57" t="str">
        <x:v>決定……</x:v>
      </x:c>
      <x:c r="D9" s="57" t="str"/>
      <x:c r="E9" s="57" t="str">
        <x:v>加號文法代號、文法縮寫</x:v>
      </x:c>
      <x:c r="F9" s="57" t="str"/>
      <x:c r="G9" s="57" t="str">
        <x:v>不要直接轉檔；先改成完整自然例句或拆成固定片語</x:v>
      </x:c>
      <x:c r="H9" s="70" t="str">
        <x:v>待確認</x:v>
      </x:c>
      <x:c r="I9" s="70" t="str">
        <x:v>Book 4 Unit 3-4</x:v>
      </x:c>
      <x:c r="J9" s="76" t="n">
        <x:v>1</x:v>
      </x:c>
      <x:c r="K9" s="57" t="str">
        <x:v>decide on + n</x:v>
      </x:c>
    </x:row>
    <x:row r="10" ht="24" hidden="0" customHeight="1">
      <x:c r="A10" s="70" t="str">
        <x:v>S-005</x:v>
      </x:c>
      <x:c r="B10" s="57" t="str">
        <x:v>do / try one's best</x:v>
      </x:c>
      <x:c r="C10" s="57" t="str">
        <x:v>盡某人所能</x:v>
      </x:c>
      <x:c r="D10" s="57" t="str"/>
      <x:c r="E10" s="57" t="str">
        <x:v>斜線替代寫法、抽象代名詞／所有格</x:v>
      </x:c>
      <x:c r="F10" s="57" t="str"/>
      <x:c r="G10" s="57" t="str">
        <x:v>不要直接轉檔；先改成完整自然例句或拆成固定片語</x:v>
      </x:c>
      <x:c r="H10" s="70" t="str">
        <x:v>待確認</x:v>
      </x:c>
      <x:c r="I10" s="70" t="str">
        <x:v>Book 2 Unit 3-4</x:v>
      </x:c>
      <x:c r="J10" s="76" t="n">
        <x:v>1</x:v>
      </x:c>
      <x:c r="K10" s="57" t="str">
        <x:v>do / try one's best</x:v>
      </x:c>
    </x:row>
    <x:row r="11" ht="24" hidden="0" customHeight="1">
      <x:c r="A11" s="70" t="str">
        <x:v>S-006</x:v>
      </x:c>
      <x:c r="B11" s="57" t="str">
        <x:v>do one's / the shopping</x:v>
      </x:c>
      <x:c r="C11" s="57" t="str">
        <x:v>購物</x:v>
      </x:c>
      <x:c r="D11" s="57" t="str"/>
      <x:c r="E11" s="57" t="str">
        <x:v>斜線替代寫法、抽象代名詞／所有格</x:v>
      </x:c>
      <x:c r="F11" s="57" t="str"/>
      <x:c r="G11" s="57" t="str">
        <x:v>不要直接轉檔；先改成完整自然例句或拆成固定片語</x:v>
      </x:c>
      <x:c r="H11" s="70" t="str">
        <x:v>待確認</x:v>
      </x:c>
      <x:c r="I11" s="70" t="str">
        <x:v>Book 3 Unit 3-4</x:v>
      </x:c>
      <x:c r="J11" s="76" t="n">
        <x:v>1</x:v>
      </x:c>
      <x:c r="K11" s="57" t="str">
        <x:v>do one's / the shopping</x:v>
      </x:c>
    </x:row>
    <x:row r="12" ht="15" hidden="0" customHeight="1">
      <x:c r="A12" s="70" t="str">
        <x:v>S-007</x:v>
      </x:c>
      <x:c r="B12" s="57" t="str">
        <x:v>feel like + V-ing</x:v>
      </x:c>
      <x:c r="C12" s="57" t="str">
        <x:v>想要……</x:v>
      </x:c>
      <x:c r="D12" s="57" t="str"/>
      <x:c r="E12" s="57" t="str">
        <x:v>加號文法代號、文法縮寫</x:v>
      </x:c>
      <x:c r="F12" s="57" t="str"/>
      <x:c r="G12" s="57" t="str">
        <x:v>不要直接轉檔；先改成完整自然例句或拆成固定片語</x:v>
      </x:c>
      <x:c r="H12" s="70" t="str">
        <x:v>待確認</x:v>
      </x:c>
      <x:c r="I12" s="70" t="str">
        <x:v>Book 5 Unit 3-4</x:v>
      </x:c>
      <x:c r="J12" s="76" t="n">
        <x:v>1</x:v>
      </x:c>
      <x:c r="K12" s="57" t="str">
        <x:v>feel like + v-ing</x:v>
      </x:c>
    </x:row>
    <x:row r="13" ht="24" hidden="0" customHeight="1">
      <x:c r="A13" s="70" t="str">
        <x:v>S-008</x:v>
      </x:c>
      <x:c r="B13" s="57" t="str">
        <x:v>give / lend... a hand</x:v>
      </x:c>
      <x:c r="C13" s="57" t="str">
        <x:v>幫助某人</x:v>
      </x:c>
      <x:c r="D13" s="57" t="str"/>
      <x:c r="E13" s="57" t="str">
        <x:v>斜線替代寫法、省略號／未完成形式</x:v>
      </x:c>
      <x:c r="F13" s="57" t="str"/>
      <x:c r="G13" s="57" t="str">
        <x:v>不要直接轉檔；先改成完整自然例句或拆成固定片語</x:v>
      </x:c>
      <x:c r="H13" s="70" t="str">
        <x:v>待確認</x:v>
      </x:c>
      <x:c r="I13" s="70" t="str">
        <x:v>Book 4 Unit 1-2</x:v>
      </x:c>
      <x:c r="J13" s="76" t="n">
        <x:v>1</x:v>
      </x:c>
      <x:c r="K13" s="57" t="str">
        <x:v>give / lend... a hand</x:v>
      </x:c>
    </x:row>
    <x:row r="14" ht="24" hidden="0" customHeight="1">
      <x:c r="A14" s="70" t="str">
        <x:v>S-009</x:v>
      </x:c>
      <x:c r="B14" s="57" t="str">
        <x:v>keep / stop from...</x:v>
      </x:c>
      <x:c r="C14" s="57" t="str">
        <x:v>防止……</x:v>
      </x:c>
      <x:c r="D14" s="57" t="str"/>
      <x:c r="E14" s="57" t="str">
        <x:v>斜線替代寫法、省略號／未完成形式</x:v>
      </x:c>
      <x:c r="F14" s="57" t="str"/>
      <x:c r="G14" s="57" t="str">
        <x:v>不要直接轉檔；先改成完整自然例句或拆成固定片語</x:v>
      </x:c>
      <x:c r="H14" s="70" t="str">
        <x:v>待確認</x:v>
      </x:c>
      <x:c r="I14" s="70" t="str">
        <x:v>Book 3 Unit 1-2</x:v>
      </x:c>
      <x:c r="J14" s="76" t="n">
        <x:v>1</x:v>
      </x:c>
      <x:c r="K14" s="57" t="str">
        <x:v>keep / stop from...</x:v>
      </x:c>
    </x:row>
    <x:row r="15" ht="24" hidden="0" customHeight="1">
      <x:c r="A15" s="70" t="str">
        <x:v>S-010</x:v>
      </x:c>
      <x:c r="B15" s="57" t="str">
        <x:v>move away / to...</x:v>
      </x:c>
      <x:c r="C15" s="57" t="str">
        <x:v>搬走 / 搬至……</x:v>
      </x:c>
      <x:c r="D15" s="57" t="str"/>
      <x:c r="E15" s="57" t="str">
        <x:v>斜線替代寫法、省略號／未完成形式</x:v>
      </x:c>
      <x:c r="F15" s="57" t="str"/>
      <x:c r="G15" s="57" t="str">
        <x:v>不要直接轉檔；先改成完整自然例句或拆成固定片語</x:v>
      </x:c>
      <x:c r="H15" s="70" t="str">
        <x:v>待確認</x:v>
      </x:c>
      <x:c r="I15" s="70" t="str">
        <x:v>Book 4 Unit 1-2</x:v>
      </x:c>
      <x:c r="J15" s="76" t="n">
        <x:v>1</x:v>
      </x:c>
      <x:c r="K15" s="57" t="str">
        <x:v>move away / to...</x:v>
      </x:c>
    </x:row>
    <x:row r="16" ht="15" hidden="0" customHeight="1">
      <x:c r="A16" s="70" t="str">
        <x:v>S-011</x:v>
      </x:c>
      <x:c r="B16" s="57" t="str">
        <x:v>someone (somebody)</x:v>
      </x:c>
      <x:c r="C16" s="57" t="str">
        <x:v>某人</x:v>
      </x:c>
      <x:c r="D16" s="57" t="str">
        <x:v>n.</x:v>
      </x:c>
      <x:c r="E16" s="57" t="str">
        <x:v>括號選用字、抽象代名詞／所有格</x:v>
      </x:c>
      <x:c r="F16" s="57" t="str"/>
      <x:c r="G16" s="57" t="str">
        <x:v>不要直接轉檔；先改成完整自然例句或拆成固定片語</x:v>
      </x:c>
      <x:c r="H16" s="70" t="str">
        <x:v>待確認</x:v>
      </x:c>
      <x:c r="I16" s="70" t="str">
        <x:v>Book 5 Unit 5-6</x:v>
      </x:c>
      <x:c r="J16" s="76" t="n">
        <x:v>1</x:v>
      </x:c>
      <x:c r="K16" s="57" t="str">
        <x:v>someone (somebody)</x:v>
      </x:c>
    </x:row>
    <x:row r="17" ht="24" hidden="0" customHeight="1">
      <x:c r="A17" s="70" t="str">
        <x:v>S-012</x:v>
      </x:c>
      <x:c r="B17" s="57" t="str">
        <x:v>take place / one's place</x:v>
      </x:c>
      <x:c r="C17" s="57" t="str">
        <x:v>發生 / 代替</x:v>
      </x:c>
      <x:c r="D17" s="57" t="str"/>
      <x:c r="E17" s="57" t="str">
        <x:v>斜線替代寫法、抽象代名詞／所有格</x:v>
      </x:c>
      <x:c r="F17" s="57" t="str"/>
      <x:c r="G17" s="57" t="str">
        <x:v>不要直接轉檔；先改成完整自然例句或拆成固定片語</x:v>
      </x:c>
      <x:c r="H17" s="70" t="str">
        <x:v>待確認</x:v>
      </x:c>
      <x:c r="I17" s="70" t="str">
        <x:v>Book 4 Unit 5-6</x:v>
      </x:c>
      <x:c r="J17" s="76" t="n">
        <x:v>1</x:v>
      </x:c>
      <x:c r="K17" s="57" t="str">
        <x:v>take place / one's place</x:v>
      </x:c>
    </x:row>
    <x:row r="18" ht="15" hidden="0" customHeight="1">
      <x:c r="A18" s="70" t="str">
        <x:v>S-013</x:v>
      </x:c>
      <x:c r="B18" s="57" t="str">
        <x:v>can't help but + V</x:v>
      </x:c>
      <x:c r="C18" s="57" t="str">
        <x:v>忍不住……</x:v>
      </x:c>
      <x:c r="D18" s="57" t="str"/>
      <x:c r="E18" s="57" t="str">
        <x:v>加號文法代號</x:v>
      </x:c>
      <x:c r="F18" s="57" t="str"/>
      <x:c r="G18" s="57" t="str">
        <x:v>不要直接轉檔；先改成完整自然例句或拆成固定片語</x:v>
      </x:c>
      <x:c r="H18" s="70" t="str">
        <x:v>待確認</x:v>
      </x:c>
      <x:c r="I18" s="70" t="str">
        <x:v>Book 5 Unit 3-4</x:v>
      </x:c>
      <x:c r="J18" s="76" t="n">
        <x:v>1</x:v>
      </x:c>
      <x:c r="K18" s="57" t="str">
        <x:v>can't help but + v</x:v>
      </x:c>
    </x:row>
    <x:row r="19" ht="15" hidden="0" customHeight="1">
      <x:c r="A19" s="70" t="str">
        <x:v>S-014</x:v>
      </x:c>
      <x:c r="B19" s="57" t="str">
        <x:v>do + 人 + good</x:v>
      </x:c>
      <x:c r="C19" s="57" t="str">
        <x:v>對某人有益處</x:v>
      </x:c>
      <x:c r="D19" s="57" t="str"/>
      <x:c r="E19" s="57" t="str">
        <x:v>加號文法代號</x:v>
      </x:c>
      <x:c r="F19" s="57" t="str"/>
      <x:c r="G19" s="57" t="str">
        <x:v>不要直接轉檔；先改成完整自然例句或拆成固定片語</x:v>
      </x:c>
      <x:c r="H19" s="70" t="str">
        <x:v>待確認</x:v>
      </x:c>
      <x:c r="I19" s="70" t="str">
        <x:v>Book 1 Unit 4-6</x:v>
      </x:c>
      <x:c r="J19" s="76" t="n">
        <x:v>1</x:v>
      </x:c>
      <x:c r="K19" s="57" t="str">
        <x:v>do + 人 + good</x:v>
      </x:c>
    </x:row>
    <x:row r="20" ht="15" hidden="0" customHeight="1">
      <x:c r="A20" s="70" t="str">
        <x:v>S-015</x:v>
      </x:c>
      <x:c r="B20" s="57" t="str">
        <x:v>share + 物 + with + 人</x:v>
      </x:c>
      <x:c r="C20" s="57" t="str">
        <x:v>和某人分享某物</x:v>
      </x:c>
      <x:c r="D20" s="57" t="str"/>
      <x:c r="E20" s="57" t="str">
        <x:v>加號文法代號</x:v>
      </x:c>
      <x:c r="F20" s="57" t="str"/>
      <x:c r="G20" s="57" t="str">
        <x:v>不要直接轉檔；先改成完整自然例句或拆成固定片語</x:v>
      </x:c>
      <x:c r="H20" s="70" t="str">
        <x:v>待確認</x:v>
      </x:c>
      <x:c r="I20" s="70" t="str">
        <x:v>Book 2 Unit 5-6</x:v>
      </x:c>
      <x:c r="J20" s="76" t="n">
        <x:v>1</x:v>
      </x:c>
      <x:c r="K20" s="57" t="str">
        <x:v>share + 物 + with + 人</x:v>
      </x:c>
    </x:row>
    <x:row r="21" ht="15" hidden="0" customHeight="1">
      <x:c r="A21" s="70" t="str">
        <x:v>S-016</x:v>
      </x:c>
      <x:c r="B21" s="57" t="str">
        <x:v>goodbye/bye</x:v>
      </x:c>
      <x:c r="C21" s="57" t="str">
        <x:v>再見</x:v>
      </x:c>
      <x:c r="D21" s="57" t="str">
        <x:v>int./n.</x:v>
      </x:c>
      <x:c r="E21" s="57" t="str">
        <x:v>斜線替代寫法</x:v>
      </x:c>
      <x:c r="F21" s="57" t="str">
        <x:v>goodbye or bye</x:v>
      </x:c>
      <x:c r="G21" s="57" t="str">
        <x:v>確認要朗讀全部選項，或拆成多段音檔</x:v>
      </x:c>
      <x:c r="H21" s="70" t="str">
        <x:v>待確認</x:v>
      </x:c>
      <x:c r="I21" s="70" t="str">
        <x:v>進階 L64；進階 L124</x:v>
      </x:c>
      <x:c r="J21" s="76" t="n">
        <x:v>2</x:v>
      </x:c>
      <x:c r="K21" s="57" t="str">
        <x:v>goodbye/bye</x:v>
      </x:c>
    </x:row>
    <x:row r="22" ht="15" hidden="0" customHeight="1">
      <x:c r="A22" s="70" t="str">
        <x:v>S-017</x:v>
      </x:c>
      <x:c r="B22" s="57" t="str">
        <x:v>refrigerator (fridge)</x:v>
      </x:c>
      <x:c r="C22" s="57" t="str">
        <x:v>冰箱</x:v>
      </x:c>
      <x:c r="D22" s="57" t="str">
        <x:v>n.</x:v>
      </x:c>
      <x:c r="E22" s="57" t="str">
        <x:v>括號選用字</x:v>
      </x:c>
      <x:c r="F22" s="57" t="str">
        <x:v>refrigerator (fridge)</x:v>
      </x:c>
      <x:c r="G22" s="57" t="str">
        <x:v>確認括號內容是否朗讀；必要時拆成兩段</x:v>
      </x:c>
      <x:c r="H22" s="70" t="str">
        <x:v>待確認</x:v>
      </x:c>
      <x:c r="I22" s="70" t="str">
        <x:v>Book 6 Unit 3-4；進階 L70</x:v>
      </x:c>
      <x:c r="J22" s="76" t="n">
        <x:v>2</x:v>
      </x:c>
      <x:c r="K22" s="57" t="str">
        <x:v>refrigerator (fridge)</x:v>
      </x:c>
    </x:row>
    <x:row r="23" ht="15" hidden="0" customHeight="1">
      <x:c r="A23" s="70" t="str">
        <x:v>S-018</x:v>
      </x:c>
      <x:c r="B23" s="57" t="str">
        <x:v>shoe(s)</x:v>
      </x:c>
      <x:c r="C23" s="57" t="str">
        <x:v>鞋子</x:v>
      </x:c>
      <x:c r="D23" s="57" t="str">
        <x:v>n.</x:v>
      </x:c>
      <x:c r="E23" s="57" t="str">
        <x:v>括號選用字</x:v>
      </x:c>
      <x:c r="F23" s="57" t="str">
        <x:v>shoe(s)</x:v>
      </x:c>
      <x:c r="G23" s="57" t="str">
        <x:v>確認括號內容是否朗讀；必要時拆成兩段</x:v>
      </x:c>
      <x:c r="H23" s="70" t="str">
        <x:v>待確認</x:v>
      </x:c>
      <x:c r="I23" s="70" t="str">
        <x:v>Book 4 Unit 3-4；進階 L47</x:v>
      </x:c>
      <x:c r="J23" s="76" t="n">
        <x:v>2</x:v>
      </x:c>
      <x:c r="K23" s="57" t="str">
        <x:v>shoe(s)</x:v>
      </x:c>
    </x:row>
    <x:row r="24" ht="15" hidden="0" customHeight="1">
      <x:c r="A24" s="70" t="str">
        <x:v>S-019</x:v>
      </x:c>
      <x:c r="B24" s="57" t="str">
        <x:v>a lot of / lots of</x:v>
      </x:c>
      <x:c r="C24" s="57" t="str">
        <x:v>許多</x:v>
      </x:c>
      <x:c r="D24" s="57" t="str"/>
      <x:c r="E24" s="57" t="str">
        <x:v>斜線替代寫法</x:v>
      </x:c>
      <x:c r="F24" s="57" t="str">
        <x:v>a lot of or lots of</x:v>
      </x:c>
      <x:c r="G24" s="57" t="str">
        <x:v>確認要朗讀全部選項，或拆成多段音檔</x:v>
      </x:c>
      <x:c r="H24" s="70" t="str">
        <x:v>待確認</x:v>
      </x:c>
      <x:c r="I24" s="70" t="str">
        <x:v>Book 2 Unit 5-6</x:v>
      </x:c>
      <x:c r="J24" s="76" t="n">
        <x:v>1</x:v>
      </x:c>
      <x:c r="K24" s="57" t="str">
        <x:v>a lot of / lots of</x:v>
      </x:c>
    </x:row>
    <x:row r="25" ht="15" hidden="0" customHeight="1">
      <x:c r="A25" s="70" t="str">
        <x:v>S-020</x:v>
      </x:c>
      <x:c r="B25" s="57" t="str">
        <x:v>airplane (plane)</x:v>
      </x:c>
      <x:c r="C25" s="57" t="str">
        <x:v>飛機</x:v>
      </x:c>
      <x:c r="D25" s="57" t="str">
        <x:v>n.</x:v>
      </x:c>
      <x:c r="E25" s="57" t="str">
        <x:v>括號選用字</x:v>
      </x:c>
      <x:c r="F25" s="57" t="str">
        <x:v>airplane (plane)</x:v>
      </x:c>
      <x:c r="G25" s="57" t="str">
        <x:v>確認括號內容是否朗讀；必要時拆成兩段</x:v>
      </x:c>
      <x:c r="H25" s="70" t="str">
        <x:v>待確認</x:v>
      </x:c>
      <x:c r="I25" s="70" t="str">
        <x:v>Book 3 Unit 5-6</x:v>
      </x:c>
      <x:c r="J25" s="76" t="n">
        <x:v>1</x:v>
      </x:c>
      <x:c r="K25" s="57" t="str">
        <x:v>airplane (plane)</x:v>
      </x:c>
    </x:row>
    <x:row r="26" ht="15" hidden="0" customHeight="1">
      <x:c r="A26" s="70" t="str">
        <x:v>S-021</x:v>
      </x:c>
      <x:c r="B26" s="57" t="str">
        <x:v>airplane/plane</x:v>
      </x:c>
      <x:c r="C26" s="57" t="str">
        <x:v>飛機</x:v>
      </x:c>
      <x:c r="D26" s="57" t="str">
        <x:v>n.</x:v>
      </x:c>
      <x:c r="E26" s="57" t="str">
        <x:v>斜線替代寫法</x:v>
      </x:c>
      <x:c r="F26" s="57" t="str">
        <x:v>airplane or plane</x:v>
      </x:c>
      <x:c r="G26" s="57" t="str">
        <x:v>確認要朗讀全部選項，或拆成多段音檔</x:v>
      </x:c>
      <x:c r="H26" s="70" t="str">
        <x:v>待確認</x:v>
      </x:c>
      <x:c r="I26" s="70" t="str">
        <x:v>進階 L91</x:v>
      </x:c>
      <x:c r="J26" s="76" t="n">
        <x:v>1</x:v>
      </x:c>
      <x:c r="K26" s="57" t="str">
        <x:v>airplane/plane</x:v>
      </x:c>
    </x:row>
    <x:row r="27" ht="15" hidden="0" customHeight="1">
      <x:c r="A27" s="70" t="str">
        <x:v>S-022</x:v>
      </x:c>
      <x:c r="B27" s="57" t="str">
        <x:v>all night / all day long</x:v>
      </x:c>
      <x:c r="C27" s="57" t="str">
        <x:v>整夜 / 整天</x:v>
      </x:c>
      <x:c r="D27" s="57" t="str"/>
      <x:c r="E27" s="57" t="str">
        <x:v>斜線替代寫法</x:v>
      </x:c>
      <x:c r="F27" s="57" t="str">
        <x:v>all night or all day long</x:v>
      </x:c>
      <x:c r="G27" s="57" t="str">
        <x:v>確認要朗讀全部選項，或拆成多段音檔</x:v>
      </x:c>
      <x:c r="H27" s="70" t="str">
        <x:v>待確認</x:v>
      </x:c>
      <x:c r="I27" s="70" t="str">
        <x:v>Book 3 Unit 5-6</x:v>
      </x:c>
      <x:c r="J27" s="76" t="n">
        <x:v>1</x:v>
      </x:c>
      <x:c r="K27" s="57" t="str">
        <x:v>all night / all day long</x:v>
      </x:c>
    </x:row>
    <x:row r="28" ht="15" hidden="0" customHeight="1">
      <x:c r="A28" s="70" t="str">
        <x:v>S-023</x:v>
      </x:c>
      <x:c r="B28" s="57" t="str">
        <x:v>although / though</x:v>
      </x:c>
      <x:c r="C28" s="57" t="str">
        <x:v>雖然</x:v>
      </x:c>
      <x:c r="D28" s="57" t="str">
        <x:v>conj.</x:v>
      </x:c>
      <x:c r="E28" s="57" t="str">
        <x:v>斜線替代寫法</x:v>
      </x:c>
      <x:c r="F28" s="57" t="str">
        <x:v>although or though</x:v>
      </x:c>
      <x:c r="G28" s="57" t="str">
        <x:v>確認要朗讀全部選項，或拆成多段音檔</x:v>
      </x:c>
      <x:c r="H28" s="70" t="str">
        <x:v>待確認</x:v>
      </x:c>
      <x:c r="I28" s="70" t="str">
        <x:v>Book 3 Unit 1-2</x:v>
      </x:c>
      <x:c r="J28" s="76" t="n">
        <x:v>1</x:v>
      </x:c>
      <x:c r="K28" s="57" t="str">
        <x:v>although / though</x:v>
      </x:c>
    </x:row>
    <x:row r="29" ht="15" hidden="0" customHeight="1">
      <x:c r="A29" s="70" t="str">
        <x:v>S-024</x:v>
      </x:c>
      <x:c r="B29" s="57" t="str">
        <x:v>answer / pick up the phone</x:v>
      </x:c>
      <x:c r="C29" s="57" t="str">
        <x:v>接電話</x:v>
      </x:c>
      <x:c r="D29" s="57" t="str"/>
      <x:c r="E29" s="57" t="str">
        <x:v>斜線替代寫法</x:v>
      </x:c>
      <x:c r="F29" s="57" t="str">
        <x:v>answer or pick up the phone</x:v>
      </x:c>
      <x:c r="G29" s="57" t="str">
        <x:v>確認要朗讀全部選項，或拆成多段音檔</x:v>
      </x:c>
      <x:c r="H29" s="70" t="str">
        <x:v>待確認</x:v>
      </x:c>
      <x:c r="I29" s="70" t="str">
        <x:v>Book 1 Unit 4-6</x:v>
      </x:c>
      <x:c r="J29" s="76" t="n">
        <x:v>1</x:v>
      </x:c>
      <x:c r="K29" s="57" t="str">
        <x:v>answer / pick up the phone</x:v>
      </x:c>
    </x:row>
    <x:row r="30" ht="15" hidden="0" customHeight="1">
      <x:c r="A30" s="70" t="str">
        <x:v>S-025</x:v>
      </x:c>
      <x:c r="B30" s="57" t="str">
        <x:v>anyone (anybody)</x:v>
      </x:c>
      <x:c r="C30" s="57" t="str">
        <x:v>任何人</x:v>
      </x:c>
      <x:c r="D30" s="57" t="str">
        <x:v>n.</x:v>
      </x:c>
      <x:c r="E30" s="57" t="str">
        <x:v>括號選用字</x:v>
      </x:c>
      <x:c r="F30" s="57" t="str">
        <x:v>anyone (anybody)</x:v>
      </x:c>
      <x:c r="G30" s="57" t="str">
        <x:v>確認括號內容是否朗讀；必要時拆成兩段</x:v>
      </x:c>
      <x:c r="H30" s="70" t="str">
        <x:v>待確認</x:v>
      </x:c>
      <x:c r="I30" s="70" t="str">
        <x:v>Book 5 Unit 5-6</x:v>
      </x:c>
      <x:c r="J30" s="76" t="n">
        <x:v>1</x:v>
      </x:c>
      <x:c r="K30" s="57" t="str">
        <x:v>anyone (anybody)</x:v>
      </x:c>
    </x:row>
    <x:row r="31" ht="15" hidden="0" customHeight="1">
      <x:c r="A31" s="70" t="str">
        <x:v>S-026</x:v>
      </x:c>
      <x:c r="B31" s="57" t="str">
        <x:v>Anything to eat / drink?</x:v>
      </x:c>
      <x:c r="C31" s="57" t="str">
        <x:v>要吃 / 喝點什麼嗎？</x:v>
      </x:c>
      <x:c r="D31" s="57" t="str"/>
      <x:c r="E31" s="57" t="str">
        <x:v>斜線替代寫法</x:v>
      </x:c>
      <x:c r="F31" s="57" t="str">
        <x:v>Anything to eat or drink?</x:v>
      </x:c>
      <x:c r="G31" s="57" t="str">
        <x:v>確認要朗讀全部選項，或拆成多段音檔</x:v>
      </x:c>
      <x:c r="H31" s="70" t="str">
        <x:v>待確認</x:v>
      </x:c>
      <x:c r="I31" s="70" t="str">
        <x:v>Book 2 Unit 5-6</x:v>
      </x:c>
      <x:c r="J31" s="76" t="n">
        <x:v>1</x:v>
      </x:c>
      <x:c r="K31" s="57" t="str">
        <x:v>anything to eat / drink?</x:v>
      </x:c>
    </x:row>
    <x:row r="32" ht="15" hidden="0" customHeight="1">
      <x:c r="A32" s="70" t="str">
        <x:v>S-027</x:v>
      </x:c>
      <x:c r="B32" s="57" t="str">
        <x:v>as soon as...</x:v>
      </x:c>
      <x:c r="C32" s="57" t="str">
        <x:v>一......就......</x:v>
      </x:c>
      <x:c r="D32" s="57" t="str"/>
      <x:c r="E32" s="57" t="str">
        <x:v>省略號／未完成形式</x:v>
      </x:c>
      <x:c r="F32" s="57" t="str">
        <x:v>as soon as something</x:v>
      </x:c>
      <x:c r="G32" s="57" t="str">
        <x:v>確認朗讀草案後再產生</x:v>
      </x:c>
      <x:c r="H32" s="70" t="str">
        <x:v>待確認</x:v>
      </x:c>
      <x:c r="I32" s="70" t="str">
        <x:v>Book 6 Unit 1-2</x:v>
      </x:c>
      <x:c r="J32" s="76" t="n">
        <x:v>1</x:v>
      </x:c>
      <x:c r="K32" s="57" t="str">
        <x:v>as soon as...</x:v>
      </x:c>
    </x:row>
    <x:row r="33" ht="15" hidden="0" customHeight="1">
      <x:c r="A33" s="70" t="str">
        <x:v>S-028</x:v>
      </x:c>
      <x:c r="B33" s="57" t="str">
        <x:v>at the age of...</x:v>
      </x:c>
      <x:c r="C33" s="57" t="str">
        <x:v>在......歲時</x:v>
      </x:c>
      <x:c r="D33" s="57" t="str"/>
      <x:c r="E33" s="57" t="str">
        <x:v>省略號／未完成形式</x:v>
      </x:c>
      <x:c r="F33" s="57" t="str">
        <x:v>at the age of something</x:v>
      </x:c>
      <x:c r="G33" s="57" t="str">
        <x:v>確認朗讀草案後再產生</x:v>
      </x:c>
      <x:c r="H33" s="70" t="str">
        <x:v>待確認</x:v>
      </x:c>
      <x:c r="I33" s="70" t="str">
        <x:v>Book 6 Unit 1-2</x:v>
      </x:c>
      <x:c r="J33" s="76" t="n">
        <x:v>1</x:v>
      </x:c>
      <x:c r="K33" s="57" t="str">
        <x:v>at the age of...</x:v>
      </x:c>
    </x:row>
    <x:row r="34" ht="15" hidden="0" customHeight="1">
      <x:c r="A34" s="70" t="str">
        <x:v>S-029</x:v>
      </x:c>
      <x:c r="B34" s="57" t="str">
        <x:v>at the bottom of...</x:v>
      </x:c>
      <x:c r="C34" s="57" t="str">
        <x:v>在......底部</x:v>
      </x:c>
      <x:c r="D34" s="57" t="str"/>
      <x:c r="E34" s="57" t="str">
        <x:v>省略號／未完成形式</x:v>
      </x:c>
      <x:c r="F34" s="57" t="str">
        <x:v>at the bottom of something</x:v>
      </x:c>
      <x:c r="G34" s="57" t="str">
        <x:v>確認朗讀草案後再產生</x:v>
      </x:c>
      <x:c r="H34" s="70" t="str">
        <x:v>待確認</x:v>
      </x:c>
      <x:c r="I34" s="70" t="str">
        <x:v>Book 6 Unit 1-2</x:v>
      </x:c>
      <x:c r="J34" s="76" t="n">
        <x:v>1</x:v>
      </x:c>
      <x:c r="K34" s="57" t="str">
        <x:v>at the bottom of...</x:v>
      </x:c>
    </x:row>
    <x:row r="35" ht="15" hidden="0" customHeight="1">
      <x:c r="A35" s="70" t="str">
        <x:v>S-030</x:v>
      </x:c>
      <x:c r="B35" s="57" t="str">
        <x:v>at the end of...</x:v>
      </x:c>
      <x:c r="C35" s="57" t="str">
        <x:v>在......結束時</x:v>
      </x:c>
      <x:c r="D35" s="57" t="str"/>
      <x:c r="E35" s="57" t="str">
        <x:v>省略號／未完成形式</x:v>
      </x:c>
      <x:c r="F35" s="57" t="str">
        <x:v>at the end of something</x:v>
      </x:c>
      <x:c r="G35" s="57" t="str">
        <x:v>確認朗讀草案後再產生</x:v>
      </x:c>
      <x:c r="H35" s="70" t="str">
        <x:v>待確認</x:v>
      </x:c>
      <x:c r="I35" s="70" t="str">
        <x:v>Book 6 Unit 1-2</x:v>
      </x:c>
      <x:c r="J35" s="76" t="n">
        <x:v>1</x:v>
      </x:c>
      <x:c r="K35" s="57" t="str">
        <x:v>at the end of...</x:v>
      </x:c>
    </x:row>
    <x:row r="36" ht="15" hidden="0" customHeight="1">
      <x:c r="A36" s="70" t="str">
        <x:v>S-031</x:v>
      </x:c>
      <x:c r="B36" s="57" t="str">
        <x:v>be angry at / with</x:v>
      </x:c>
      <x:c r="C36" s="57" t="str">
        <x:v>對……生氣</x:v>
      </x:c>
      <x:c r="D36" s="57" t="str"/>
      <x:c r="E36" s="57" t="str">
        <x:v>斜線替代寫法</x:v>
      </x:c>
      <x:c r="F36" s="57" t="str">
        <x:v>be angry at or with</x:v>
      </x:c>
      <x:c r="G36" s="57" t="str">
        <x:v>確認要朗讀全部選項，或拆成多段音檔</x:v>
      </x:c>
      <x:c r="H36" s="70" t="str">
        <x:v>待確認</x:v>
      </x:c>
      <x:c r="I36" s="70" t="str">
        <x:v>Book 4 Unit 3-4</x:v>
      </x:c>
      <x:c r="J36" s="76" t="n">
        <x:v>1</x:v>
      </x:c>
      <x:c r="K36" s="57" t="str">
        <x:v>be angry at / with</x:v>
      </x:c>
    </x:row>
    <x:row r="37" ht="15" hidden="0" customHeight="1">
      <x:c r="A37" s="70" t="str">
        <x:v>S-032</x:v>
      </x:c>
      <x:c r="B37" s="57" t="str">
        <x:v>be famous for...</x:v>
      </x:c>
      <x:c r="C37" s="57" t="str">
        <x:v>以......著名</x:v>
      </x:c>
      <x:c r="D37" s="57" t="str"/>
      <x:c r="E37" s="57" t="str">
        <x:v>省略號／未完成形式</x:v>
      </x:c>
      <x:c r="F37" s="57" t="str">
        <x:v>be famous for something</x:v>
      </x:c>
      <x:c r="G37" s="57" t="str">
        <x:v>確認朗讀草案後再產生</x:v>
      </x:c>
      <x:c r="H37" s="70" t="str">
        <x:v>待確認</x:v>
      </x:c>
      <x:c r="I37" s="70" t="str">
        <x:v>data.json</x:v>
      </x:c>
      <x:c r="J37" s="76" t="n">
        <x:v>1</x:v>
      </x:c>
      <x:c r="K37" s="57" t="str">
        <x:v>be famous for...</x:v>
      </x:c>
    </x:row>
    <x:row r="38" ht="15" hidden="0" customHeight="1">
      <x:c r="A38" s="70" t="str">
        <x:v>S-033</x:v>
      </x:c>
      <x:c r="B38" s="57" t="str">
        <x:v>be filled with...</x:v>
      </x:c>
      <x:c r="C38" s="57" t="str">
        <x:v>充滿……</x:v>
      </x:c>
      <x:c r="D38" s="57" t="str"/>
      <x:c r="E38" s="57" t="str">
        <x:v>省略號／未完成形式</x:v>
      </x:c>
      <x:c r="F38" s="57" t="str">
        <x:v>be filled with something</x:v>
      </x:c>
      <x:c r="G38" s="57" t="str">
        <x:v>確認朗讀草案後再產生</x:v>
      </x:c>
      <x:c r="H38" s="70" t="str">
        <x:v>待確認</x:v>
      </x:c>
      <x:c r="I38" s="70" t="str">
        <x:v>Book 5 Unit 5-6</x:v>
      </x:c>
      <x:c r="J38" s="76" t="n">
        <x:v>1</x:v>
      </x:c>
      <x:c r="K38" s="57" t="str">
        <x:v>be filled with...</x:v>
      </x:c>
    </x:row>
    <x:row r="39" ht="15" hidden="0" customHeight="1">
      <x:c r="A39" s="70" t="str">
        <x:v>S-034</x:v>
      </x:c>
      <x:c r="B39" s="57" t="str">
        <x:v>be good at...</x:v>
      </x:c>
      <x:c r="C39" s="57" t="str">
        <x:v>擅長於...</x:v>
      </x:c>
      <x:c r="D39" s="57" t="str"/>
      <x:c r="E39" s="57" t="str">
        <x:v>省略號／未完成形式</x:v>
      </x:c>
      <x:c r="F39" s="57" t="str">
        <x:v>be good at something</x:v>
      </x:c>
      <x:c r="G39" s="57" t="str">
        <x:v>確認朗讀草案後再產生</x:v>
      </x:c>
      <x:c r="H39" s="70" t="str">
        <x:v>待確認</x:v>
      </x:c>
      <x:c r="I39" s="70" t="str">
        <x:v>data.json</x:v>
      </x:c>
      <x:c r="J39" s="76" t="n">
        <x:v>1</x:v>
      </x:c>
      <x:c r="K39" s="57" t="str">
        <x:v>be good at...</x:v>
      </x:c>
    </x:row>
    <x:row r="40" ht="15" hidden="0" customHeight="1">
      <x:c r="A40" s="70" t="str">
        <x:v>S-035</x:v>
      </x:c>
      <x:c r="B40" s="57" t="str">
        <x:v>be happy with / about</x:v>
      </x:c>
      <x:c r="C40" s="57" t="str">
        <x:v>對......滿意</x:v>
      </x:c>
      <x:c r="D40" s="57" t="str"/>
      <x:c r="E40" s="57" t="str">
        <x:v>斜線替代寫法</x:v>
      </x:c>
      <x:c r="F40" s="57" t="str">
        <x:v>be happy with or about</x:v>
      </x:c>
      <x:c r="G40" s="57" t="str">
        <x:v>確認要朗讀全部選項，或拆成多段音檔</x:v>
      </x:c>
      <x:c r="H40" s="70" t="str">
        <x:v>待確認</x:v>
      </x:c>
      <x:c r="I40" s="70" t="str">
        <x:v>data.json</x:v>
      </x:c>
      <x:c r="J40" s="76" t="n">
        <x:v>1</x:v>
      </x:c>
      <x:c r="K40" s="57" t="str">
        <x:v>be happy with / about</x:v>
      </x:c>
    </x:row>
    <x:row r="41" ht="15" hidden="0" customHeight="1">
      <x:c r="A41" s="70" t="str">
        <x:v>S-036</x:v>
      </x:c>
      <x:c r="B41" s="57" t="str">
        <x:v>be kind to...</x:v>
      </x:c>
      <x:c r="C41" s="57" t="str">
        <x:v>對......親切</x:v>
      </x:c>
      <x:c r="D41" s="57" t="str"/>
      <x:c r="E41" s="57" t="str">
        <x:v>省略號／未完成形式</x:v>
      </x:c>
      <x:c r="F41" s="57" t="str">
        <x:v>be kind to something</x:v>
      </x:c>
      <x:c r="G41" s="57" t="str">
        <x:v>確認朗讀草案後再產生</x:v>
      </x:c>
      <x:c r="H41" s="70" t="str">
        <x:v>待確認</x:v>
      </x:c>
      <x:c r="I41" s="70" t="str">
        <x:v>data.json</x:v>
      </x:c>
      <x:c r="J41" s="76" t="n">
        <x:v>1</x:v>
      </x:c>
      <x:c r="K41" s="57" t="str">
        <x:v>be kind to...</x:v>
      </x:c>
    </x:row>
    <x:row r="42" ht="15" hidden="0" customHeight="1">
      <x:c r="A42" s="70" t="str">
        <x:v>S-037</x:v>
      </x:c>
      <x:c r="B42" s="57" t="str">
        <x:v>be late for...</x:v>
      </x:c>
      <x:c r="C42" s="57" t="str">
        <x:v>......遲到</x:v>
      </x:c>
      <x:c r="D42" s="57" t="str"/>
      <x:c r="E42" s="57" t="str">
        <x:v>省略號／未完成形式</x:v>
      </x:c>
      <x:c r="F42" s="57" t="str">
        <x:v>be late for something</x:v>
      </x:c>
      <x:c r="G42" s="57" t="str">
        <x:v>確認朗讀草案後再產生</x:v>
      </x:c>
      <x:c r="H42" s="70" t="str">
        <x:v>待確認</x:v>
      </x:c>
      <x:c r="I42" s="70" t="str">
        <x:v>data.json</x:v>
      </x:c>
      <x:c r="J42" s="76" t="n">
        <x:v>1</x:v>
      </x:c>
      <x:c r="K42" s="57" t="str">
        <x:v>be late for...</x:v>
      </x:c>
    </x:row>
    <x:row r="43" ht="15" hidden="0" customHeight="1">
      <x:c r="A43" s="70" t="str">
        <x:v>S-038</x:v>
      </x:c>
      <x:c r="B43" s="57" t="str">
        <x:v>be mad at / with</x:v>
      </x:c>
      <x:c r="C43" s="57" t="str">
        <x:v>對……惱怒</x:v>
      </x:c>
      <x:c r="D43" s="57" t="str"/>
      <x:c r="E43" s="57" t="str">
        <x:v>斜線替代寫法</x:v>
      </x:c>
      <x:c r="F43" s="57" t="str">
        <x:v>be mad at or with</x:v>
      </x:c>
      <x:c r="G43" s="57" t="str">
        <x:v>確認要朗讀全部選項，或拆成多段音檔</x:v>
      </x:c>
      <x:c r="H43" s="70" t="str">
        <x:v>待確認</x:v>
      </x:c>
      <x:c r="I43" s="70" t="str">
        <x:v>Book 4 Unit 3-4</x:v>
      </x:c>
      <x:c r="J43" s="76" t="n">
        <x:v>1</x:v>
      </x:c>
      <x:c r="K43" s="57" t="str">
        <x:v>be mad at / with</x:v>
      </x:c>
    </x:row>
    <x:row r="44" ht="15" hidden="0" customHeight="1">
      <x:c r="A44" s="70" t="str">
        <x:v>S-039</x:v>
      </x:c>
      <x:c r="B44" s="57" t="str">
        <x:v>be popular with...</x:v>
      </x:c>
      <x:c r="C44" s="57" t="str">
        <x:v>受......歡迎</x:v>
      </x:c>
      <x:c r="D44" s="57" t="str"/>
      <x:c r="E44" s="57" t="str">
        <x:v>省略號／未完成形式</x:v>
      </x:c>
      <x:c r="F44" s="57" t="str">
        <x:v>be popular with something</x:v>
      </x:c>
      <x:c r="G44" s="57" t="str">
        <x:v>確認朗讀草案後再產生</x:v>
      </x:c>
      <x:c r="H44" s="70" t="str">
        <x:v>待確認</x:v>
      </x:c>
      <x:c r="I44" s="70" t="str">
        <x:v>data.json</x:v>
      </x:c>
      <x:c r="J44" s="76" t="n">
        <x:v>1</x:v>
      </x:c>
      <x:c r="K44" s="57" t="str">
        <x:v>be popular with...</x:v>
      </x:c>
    </x:row>
    <x:row r="45" ht="15" hidden="0" customHeight="1">
      <x:c r="A45" s="70" t="str">
        <x:v>S-040</x:v>
      </x:c>
      <x:c r="B45" s="57" t="str">
        <x:v>be short of...</x:v>
      </x:c>
      <x:c r="C45" s="57" t="str">
        <x:v>......不夠；缺少</x:v>
      </x:c>
      <x:c r="D45" s="57" t="str"/>
      <x:c r="E45" s="57" t="str">
        <x:v>省略號／未完成形式</x:v>
      </x:c>
      <x:c r="F45" s="57" t="str">
        <x:v>be short of something</x:v>
      </x:c>
      <x:c r="G45" s="57" t="str">
        <x:v>確認朗讀草案後再產生</x:v>
      </x:c>
      <x:c r="H45" s="70" t="str">
        <x:v>待確認</x:v>
      </x:c>
      <x:c r="I45" s="70" t="str">
        <x:v>data.json</x:v>
      </x:c>
      <x:c r="J45" s="76" t="n">
        <x:v>1</x:v>
      </x:c>
      <x:c r="K45" s="57" t="str">
        <x:v>be short of...</x:v>
      </x:c>
    </x:row>
    <x:row r="46" ht="15" hidden="0" customHeight="1">
      <x:c r="A46" s="70" t="str">
        <x:v>S-041</x:v>
      </x:c>
      <x:c r="B46" s="57" t="str">
        <x:v>be successful in...</x:v>
      </x:c>
      <x:c r="C46" s="57" t="str">
        <x:v>在……是成功的</x:v>
      </x:c>
      <x:c r="D46" s="57" t="str"/>
      <x:c r="E46" s="57" t="str">
        <x:v>省略號／未完成形式</x:v>
      </x:c>
      <x:c r="F46" s="57" t="str">
        <x:v>be successful in something</x:v>
      </x:c>
      <x:c r="G46" s="57" t="str">
        <x:v>確認朗讀草案後再產生</x:v>
      </x:c>
      <x:c r="H46" s="70" t="str">
        <x:v>待確認</x:v>
      </x:c>
      <x:c r="I46" s="70" t="str">
        <x:v>Book 5 Unit 5-6</x:v>
      </x:c>
      <x:c r="J46" s="76" t="n">
        <x:v>1</x:v>
      </x:c>
      <x:c r="K46" s="57" t="str">
        <x:v>be successful in...</x:v>
      </x:c>
    </x:row>
    <x:row r="47" ht="15" hidden="0" customHeight="1">
      <x:c r="A47" s="70" t="str">
        <x:v>S-042</x:v>
      </x:c>
      <x:c r="B47" s="57" t="str">
        <x:v>bicycle (bike)</x:v>
      </x:c>
      <x:c r="C47" s="57" t="str">
        <x:v>腳踏車</x:v>
      </x:c>
      <x:c r="D47" s="57" t="str">
        <x:v>n.</x:v>
      </x:c>
      <x:c r="E47" s="57" t="str">
        <x:v>括號選用字</x:v>
      </x:c>
      <x:c r="F47" s="57" t="str">
        <x:v>bicycle (bike)</x:v>
      </x:c>
      <x:c r="G47" s="57" t="str">
        <x:v>確認括號內容是否朗讀；必要時拆成兩段</x:v>
      </x:c>
      <x:c r="H47" s="70" t="str">
        <x:v>待確認</x:v>
      </x:c>
      <x:c r="I47" s="70" t="str">
        <x:v>Book 3 Unit 5-6</x:v>
      </x:c>
      <x:c r="J47" s="76" t="n">
        <x:v>1</x:v>
      </x:c>
      <x:c r="K47" s="57" t="str">
        <x:v>bicycle (bike)</x:v>
      </x:c>
    </x:row>
    <x:row r="48" ht="15" hidden="0" customHeight="1">
      <x:c r="A48" s="70" t="str">
        <x:v>S-043</x:v>
      </x:c>
      <x:c r="B48" s="57" t="str">
        <x:v>borrow from / lend to</x:v>
      </x:c>
      <x:c r="C48" s="57" t="str">
        <x:v>借入 / 借出</x:v>
      </x:c>
      <x:c r="D48" s="57" t="str"/>
      <x:c r="E48" s="57" t="str">
        <x:v>斜線替代寫法</x:v>
      </x:c>
      <x:c r="F48" s="57" t="str">
        <x:v>borrow from or lend to</x:v>
      </x:c>
      <x:c r="G48" s="57" t="str">
        <x:v>確認要朗讀全部選項，或拆成多段音檔</x:v>
      </x:c>
      <x:c r="H48" s="70" t="str">
        <x:v>待確認</x:v>
      </x:c>
      <x:c r="I48" s="70" t="str">
        <x:v>Book 4 Unit 5-6</x:v>
      </x:c>
      <x:c r="J48" s="76" t="n">
        <x:v>1</x:v>
      </x:c>
      <x:c r="K48" s="57" t="str">
        <x:v>borrow from / lend to</x:v>
      </x:c>
    </x:row>
    <x:row r="49" ht="15" hidden="0" customHeight="1">
      <x:c r="A49" s="70" t="str">
        <x:v>S-044</x:v>
      </x:c>
      <x:c r="B49" s="57" t="str">
        <x:v>brush one's teeth</x:v>
      </x:c>
      <x:c r="C49" s="57" t="str">
        <x:v>刷牙</x:v>
      </x:c>
      <x:c r="D49" s="57" t="str"/>
      <x:c r="E49" s="57" t="str">
        <x:v>抽象代名詞／所有格</x:v>
      </x:c>
      <x:c r="F49" s="57" t="str">
        <x:v>brush one's teeth</x:v>
      </x:c>
      <x:c r="G49" s="57" t="str">
        <x:v>確認朗讀草案後再產生</x:v>
      </x:c>
      <x:c r="H49" s="70" t="str">
        <x:v>待確認</x:v>
      </x:c>
      <x:c r="I49" s="70" t="str">
        <x:v>Book 2 Unit 1-2</x:v>
      </x:c>
      <x:c r="J49" s="76" t="n">
        <x:v>1</x:v>
      </x:c>
      <x:c r="K49" s="57" t="str">
        <x:v>brush one's teeth</x:v>
      </x:c>
    </x:row>
    <x:row r="50" ht="15" hidden="0" customHeight="1">
      <x:c r="A50" s="70" t="str">
        <x:v>S-045</x:v>
      </x:c>
      <x:c r="B50" s="57" t="str">
        <x:v>by one's side</x:v>
      </x:c>
      <x:c r="C50" s="57" t="str">
        <x:v>在某人身邊</x:v>
      </x:c>
      <x:c r="D50" s="57" t="str"/>
      <x:c r="E50" s="57" t="str">
        <x:v>抽象代名詞／所有格</x:v>
      </x:c>
      <x:c r="F50" s="57" t="str">
        <x:v>by one's side</x:v>
      </x:c>
      <x:c r="G50" s="57" t="str">
        <x:v>確認朗讀草案後再產生</x:v>
      </x:c>
      <x:c r="H50" s="70" t="str">
        <x:v>待確認</x:v>
      </x:c>
      <x:c r="I50" s="70" t="str">
        <x:v>data.json</x:v>
      </x:c>
      <x:c r="J50" s="76" t="n">
        <x:v>1</x:v>
      </x:c>
      <x:c r="K50" s="57" t="str">
        <x:v>by one's side</x:v>
      </x:c>
    </x:row>
    <x:row r="51" ht="15" hidden="0" customHeight="1">
      <x:c r="A51" s="70" t="str">
        <x:v>S-046</x:v>
      </x:c>
      <x:c r="B51" s="57" t="str">
        <x:v>can't wait to...</x:v>
      </x:c>
      <x:c r="C51" s="57" t="str">
        <x:v>等不及......</x:v>
      </x:c>
      <x:c r="D51" s="57" t="str"/>
      <x:c r="E51" s="57" t="str">
        <x:v>省略號／未完成形式</x:v>
      </x:c>
      <x:c r="F51" s="57" t="str">
        <x:v>can't wait to something</x:v>
      </x:c>
      <x:c r="G51" s="57" t="str">
        <x:v>確認朗讀草案後再產生</x:v>
      </x:c>
      <x:c r="H51" s="70" t="str">
        <x:v>待確認</x:v>
      </x:c>
      <x:c r="I51" s="70" t="str">
        <x:v>Book 3 Unit 3-4</x:v>
      </x:c>
      <x:c r="J51" s="76" t="n">
        <x:v>1</x:v>
      </x:c>
      <x:c r="K51" s="57" t="str">
        <x:v>can't wait to...</x:v>
      </x:c>
    </x:row>
    <x:row r="52" ht="15" hidden="0" customHeight="1">
      <x:c r="A52" s="70" t="str">
        <x:v>S-047</x:v>
      </x:c>
      <x:c r="B52" s="57" t="str">
        <x:v>care for...</x:v>
      </x:c>
      <x:c r="C52" s="57" t="str">
        <x:v>照顧……</x:v>
      </x:c>
      <x:c r="D52" s="57" t="str"/>
      <x:c r="E52" s="57" t="str">
        <x:v>省略號／未完成形式</x:v>
      </x:c>
      <x:c r="F52" s="57" t="str">
        <x:v>care for something</x:v>
      </x:c>
      <x:c r="G52" s="57" t="str">
        <x:v>確認朗讀草案後再產生</x:v>
      </x:c>
      <x:c r="H52" s="70" t="str">
        <x:v>待確認</x:v>
      </x:c>
      <x:c r="I52" s="70" t="str">
        <x:v>Book 3 Unit 1-2</x:v>
      </x:c>
      <x:c r="J52" s="76" t="n">
        <x:v>1</x:v>
      </x:c>
      <x:c r="K52" s="57" t="str">
        <x:v>care for...</x:v>
      </x:c>
    </x:row>
    <x:row r="53" ht="15" hidden="0" customHeight="1">
      <x:c r="A53" s="70" t="str">
        <x:v>S-048</x:v>
      </x:c>
      <x:c r="B53" s="57" t="str">
        <x:v>catch / have a cold</x:v>
      </x:c>
      <x:c r="C53" s="57" t="str">
        <x:v>感冒</x:v>
      </x:c>
      <x:c r="D53" s="57" t="str"/>
      <x:c r="E53" s="57" t="str">
        <x:v>斜線替代寫法</x:v>
      </x:c>
      <x:c r="F53" s="57" t="str">
        <x:v>catch or have a cold</x:v>
      </x:c>
      <x:c r="G53" s="57" t="str">
        <x:v>確認要朗讀全部選項，或拆成多段音檔</x:v>
      </x:c>
      <x:c r="H53" s="70" t="str">
        <x:v>待確認</x:v>
      </x:c>
      <x:c r="I53" s="70" t="str">
        <x:v>Book 3 Unit 1-2</x:v>
      </x:c>
      <x:c r="J53" s="76" t="n">
        <x:v>1</x:v>
      </x:c>
      <x:c r="K53" s="57" t="str">
        <x:v>catch / have a cold</x:v>
      </x:c>
    </x:row>
    <x:row r="54" ht="15" hidden="0" customHeight="1">
      <x:c r="A54" s="70" t="str">
        <x:v>S-049</x:v>
      </x:c>
      <x:c r="B54" s="57" t="str">
        <x:v>catch one's eye</x:v>
      </x:c>
      <x:c r="C54" s="57" t="str">
        <x:v>吸引某人注意</x:v>
      </x:c>
      <x:c r="D54" s="57" t="str"/>
      <x:c r="E54" s="57" t="str">
        <x:v>抽象代名詞／所有格</x:v>
      </x:c>
      <x:c r="F54" s="57" t="str">
        <x:v>catch one's eye</x:v>
      </x:c>
      <x:c r="G54" s="57" t="str">
        <x:v>確認朗讀草案後再產生</x:v>
      </x:c>
      <x:c r="H54" s="70" t="str">
        <x:v>待確認</x:v>
      </x:c>
      <x:c r="I54" s="70" t="str">
        <x:v>Book 4 Unit 1-2</x:v>
      </x:c>
      <x:c r="J54" s="76" t="n">
        <x:v>1</x:v>
      </x:c>
      <x:c r="K54" s="57" t="str">
        <x:v>catch one's eye</x:v>
      </x:c>
    </x:row>
    <x:row r="55" ht="15" hidden="0" customHeight="1">
      <x:c r="A55" s="70" t="str">
        <x:v>S-050</x:v>
      </x:c>
      <x:c r="B55" s="57" t="str">
        <x:v>centimeter (cm)</x:v>
      </x:c>
      <x:c r="C55" s="57" t="str">
        <x:v>公分</x:v>
      </x:c>
      <x:c r="D55" s="57" t="str">
        <x:v>n.</x:v>
      </x:c>
      <x:c r="E55" s="57" t="str">
        <x:v>括號選用字</x:v>
      </x:c>
      <x:c r="F55" s="57" t="str">
        <x:v>centimeter (cm)</x:v>
      </x:c>
      <x:c r="G55" s="57" t="str">
        <x:v>確認括號內容是否朗讀；必要時拆成兩段</x:v>
      </x:c>
      <x:c r="H55" s="70" t="str">
        <x:v>待確認</x:v>
      </x:c>
      <x:c r="I55" s="70" t="str">
        <x:v>Book 4 Unit 3-4</x:v>
      </x:c>
      <x:c r="J55" s="76" t="n">
        <x:v>1</x:v>
      </x:c>
      <x:c r="K55" s="57" t="str">
        <x:v>centimeter (cm)</x:v>
      </x:c>
    </x:row>
    <x:row r="56" ht="15" hidden="0" customHeight="1">
      <x:c r="A56" s="70" t="str">
        <x:v>S-051</x:v>
      </x:c>
      <x:c r="B56" s="57" t="str">
        <x:v>check in / check out</x:v>
      </x:c>
      <x:c r="C56" s="57" t="str">
        <x:v>登記住宿 / 退房</x:v>
      </x:c>
      <x:c r="D56" s="57" t="str"/>
      <x:c r="E56" s="57" t="str">
        <x:v>斜線替代寫法</x:v>
      </x:c>
      <x:c r="F56" s="57" t="str">
        <x:v>check in or check out</x:v>
      </x:c>
      <x:c r="G56" s="57" t="str">
        <x:v>確認要朗讀全部選項，或拆成多段音檔</x:v>
      </x:c>
      <x:c r="H56" s="70" t="str">
        <x:v>待確認</x:v>
      </x:c>
      <x:c r="I56" s="70" t="str">
        <x:v>Book 3 Unit 5-6</x:v>
      </x:c>
      <x:c r="J56" s="76" t="n">
        <x:v>1</x:v>
      </x:c>
      <x:c r="K56" s="57" t="str">
        <x:v>check in / check out</x:v>
      </x:c>
    </x:row>
    <x:row r="57" ht="15" hidden="0" customHeight="1">
      <x:c r="A57" s="70" t="str">
        <x:v>S-052</x:v>
      </x:c>
      <x:c r="B57" s="57" t="str">
        <x:v>cheer for...</x:v>
      </x:c>
      <x:c r="C57" s="57" t="str">
        <x:v>為……喝采</x:v>
      </x:c>
      <x:c r="D57" s="57" t="str"/>
      <x:c r="E57" s="57" t="str">
        <x:v>省略號／未完成形式</x:v>
      </x:c>
      <x:c r="F57" s="57" t="str">
        <x:v>cheer for something</x:v>
      </x:c>
      <x:c r="G57" s="57" t="str">
        <x:v>確認朗讀草案後再產生</x:v>
      </x:c>
      <x:c r="H57" s="70" t="str">
        <x:v>待確認</x:v>
      </x:c>
      <x:c r="I57" s="70" t="str">
        <x:v>Book 3 Unit 1-2</x:v>
      </x:c>
      <x:c r="J57" s="76" t="n">
        <x:v>1</x:v>
      </x:c>
      <x:c r="K57" s="57" t="str">
        <x:v>cheer for...</x:v>
      </x:c>
    </x:row>
    <x:row r="58" ht="15" hidden="0" customHeight="1">
      <x:c r="A58" s="70" t="str">
        <x:v>S-053</x:v>
      </x:c>
      <x:c r="B58" s="57" t="str">
        <x:v>chopstick(s)</x:v>
      </x:c>
      <x:c r="C58" s="57" t="str">
        <x:v>筷子</x:v>
      </x:c>
      <x:c r="D58" s="57" t="str">
        <x:v>n.</x:v>
      </x:c>
      <x:c r="E58" s="57" t="str">
        <x:v>括號選用字</x:v>
      </x:c>
      <x:c r="F58" s="57" t="str">
        <x:v>chopstick(s)</x:v>
      </x:c>
      <x:c r="G58" s="57" t="str">
        <x:v>確認括號內容是否朗讀；必要時拆成兩段</x:v>
      </x:c>
      <x:c r="H58" s="70" t="str">
        <x:v>待確認</x:v>
      </x:c>
      <x:c r="I58" s="70" t="str">
        <x:v>Book 3 Unit 3-4</x:v>
      </x:c>
      <x:c r="J58" s="76" t="n">
        <x:v>1</x:v>
      </x:c>
      <x:c r="K58" s="57" t="str">
        <x:v>chopstick(s)</x:v>
      </x:c>
    </x:row>
    <x:row r="59" ht="15" hidden="0" customHeight="1">
      <x:c r="A59" s="70" t="str">
        <x:v>S-054</x:v>
      </x:c>
      <x:c r="B59" s="57" t="str">
        <x:v>Come (on) in.</x:v>
      </x:c>
      <x:c r="C59" s="57" t="str">
        <x:v>進來。</x:v>
      </x:c>
      <x:c r="D59" s="57" t="str"/>
      <x:c r="E59" s="57" t="str">
        <x:v>括號選用字</x:v>
      </x:c>
      <x:c r="F59" s="57" t="str">
        <x:v>Come (on) in.</x:v>
      </x:c>
      <x:c r="G59" s="57" t="str">
        <x:v>確認括號內容是否朗讀；必要時拆成兩段</x:v>
      </x:c>
      <x:c r="H59" s="70" t="str">
        <x:v>待確認</x:v>
      </x:c>
      <x:c r="I59" s="70" t="str">
        <x:v>Book 1 Unit 4-6</x:v>
      </x:c>
      <x:c r="J59" s="76" t="n">
        <x:v>1</x:v>
      </x:c>
      <x:c r="K59" s="57" t="str">
        <x:v>come (on) in.</x:v>
      </x:c>
    </x:row>
    <x:row r="60" ht="15" hidden="0" customHeight="1">
      <x:c r="A60" s="70" t="str">
        <x:v>S-055</x:v>
      </x:c>
      <x:c r="B60" s="57" t="str">
        <x:v>do one's part</x:v>
      </x:c>
      <x:c r="C60" s="57" t="str">
        <x:v>盡自己本分</x:v>
      </x:c>
      <x:c r="D60" s="57" t="str"/>
      <x:c r="E60" s="57" t="str">
        <x:v>抽象代名詞／所有格</x:v>
      </x:c>
      <x:c r="F60" s="57" t="str">
        <x:v>do one's part</x:v>
      </x:c>
      <x:c r="G60" s="57" t="str">
        <x:v>確認朗讀草案後再產生</x:v>
      </x:c>
      <x:c r="H60" s="70" t="str">
        <x:v>待確認</x:v>
      </x:c>
      <x:c r="I60" s="70" t="str">
        <x:v>Book 6 Unit 1-2</x:v>
      </x:c>
      <x:c r="J60" s="76" t="n">
        <x:v>1</x:v>
      </x:c>
      <x:c r="K60" s="57" t="str">
        <x:v>do one's part</x:v>
      </x:c>
    </x:row>
    <x:row r="61" ht="15" hidden="0" customHeight="1">
      <x:c r="A61" s="70" t="str">
        <x:v>S-056</x:v>
      </x:c>
      <x:c r="B61" s="57" t="str">
        <x:v>dream about / of</x:v>
      </x:c>
      <x:c r="C61" s="57" t="str">
        <x:v>夢想；夢見</x:v>
      </x:c>
      <x:c r="D61" s="57" t="str"/>
      <x:c r="E61" s="57" t="str">
        <x:v>斜線替代寫法</x:v>
      </x:c>
      <x:c r="F61" s="57" t="str">
        <x:v>dream about or of</x:v>
      </x:c>
      <x:c r="G61" s="57" t="str">
        <x:v>確認要朗讀全部選項，或拆成多段音檔</x:v>
      </x:c>
      <x:c r="H61" s="70" t="str">
        <x:v>待確認</x:v>
      </x:c>
      <x:c r="I61" s="70" t="str">
        <x:v>Book 6 Unit 3-4</x:v>
      </x:c>
      <x:c r="J61" s="76" t="n">
        <x:v>1</x:v>
      </x:c>
      <x:c r="K61" s="57" t="str">
        <x:v>dream about / of</x:v>
      </x:c>
    </x:row>
    <x:row r="62" ht="15" hidden="0" customHeight="1">
      <x:c r="A62" s="70" t="str">
        <x:v>S-057</x:v>
      </x:c>
      <x:c r="B62" s="57" t="str">
        <x:v>drop out / stand out</x:v>
      </x:c>
      <x:c r="C62" s="57" t="str">
        <x:v>退出 / 突出</x:v>
      </x:c>
      <x:c r="D62" s="57" t="str"/>
      <x:c r="E62" s="57" t="str">
        <x:v>斜線替代寫法</x:v>
      </x:c>
      <x:c r="F62" s="57" t="str">
        <x:v>drop out or stand out</x:v>
      </x:c>
      <x:c r="G62" s="57" t="str">
        <x:v>確認要朗讀全部選項，或拆成多段音檔</x:v>
      </x:c>
      <x:c r="H62" s="70" t="str">
        <x:v>待確認</x:v>
      </x:c>
      <x:c r="I62" s="70" t="str">
        <x:v>Book 4 Unit 5-6</x:v>
      </x:c>
      <x:c r="J62" s="76" t="n">
        <x:v>1</x:v>
      </x:c>
      <x:c r="K62" s="57" t="str">
        <x:v>drop out / stand out</x:v>
      </x:c>
    </x:row>
    <x:row r="63" ht="15" hidden="0" customHeight="1">
      <x:c r="A63" s="70" t="str">
        <x:v>S-058</x:v>
      </x:c>
      <x:c r="B63" s="57" t="str">
        <x:v>each other / one another</x:v>
      </x:c>
      <x:c r="C63" s="57" t="str">
        <x:v>互相 / 彼此</x:v>
      </x:c>
      <x:c r="D63" s="57" t="str"/>
      <x:c r="E63" s="57" t="str">
        <x:v>斜線替代寫法</x:v>
      </x:c>
      <x:c r="F63" s="57" t="str">
        <x:v>each other or one another</x:v>
      </x:c>
      <x:c r="G63" s="57" t="str">
        <x:v>確認要朗讀全部選項，或拆成多段音檔</x:v>
      </x:c>
      <x:c r="H63" s="70" t="str">
        <x:v>待確認</x:v>
      </x:c>
      <x:c r="I63" s="70" t="str">
        <x:v>Book 4 Unit 1-2</x:v>
      </x:c>
      <x:c r="J63" s="76" t="n">
        <x:v>1</x:v>
      </x:c>
      <x:c r="K63" s="57" t="str">
        <x:v>each other / one another</x:v>
      </x:c>
    </x:row>
    <x:row r="64" ht="15" hidden="0" customHeight="1">
      <x:c r="A64" s="70" t="str">
        <x:v>S-059</x:v>
      </x:c>
      <x:c r="B64" s="57" t="str">
        <x:v>everyone (everybody)</x:v>
      </x:c>
      <x:c r="C64" s="57" t="str">
        <x:v>每個人；各位</x:v>
      </x:c>
      <x:c r="D64" s="57" t="str">
        <x:v>n.</x:v>
      </x:c>
      <x:c r="E64" s="57" t="str">
        <x:v>括號選用字</x:v>
      </x:c>
      <x:c r="F64" s="57" t="str">
        <x:v>everyone (everybody)</x:v>
      </x:c>
      <x:c r="G64" s="57" t="str">
        <x:v>確認括號內容是否朗讀；必要時拆成兩段</x:v>
      </x:c>
      <x:c r="H64" s="70" t="str">
        <x:v>待確認</x:v>
      </x:c>
      <x:c r="I64" s="70" t="str">
        <x:v>Book 5 Unit 5-6</x:v>
      </x:c>
      <x:c r="J64" s="76" t="n">
        <x:v>1</x:v>
      </x:c>
      <x:c r="K64" s="57" t="str">
        <x:v>everyone (everybody)</x:v>
      </x:c>
    </x:row>
    <x:row r="65" ht="15" hidden="0" customHeight="1">
      <x:c r="A65" s="70" t="str">
        <x:v>S-060</x:v>
      </x:c>
      <x:c r="B65" s="57" t="str">
        <x:v>face the problem / music</x:v>
      </x:c>
      <x:c r="C65" s="57" t="str">
        <x:v>面對問題 / 現實</x:v>
      </x:c>
      <x:c r="D65" s="57" t="str"/>
      <x:c r="E65" s="57" t="str">
        <x:v>斜線替代寫法</x:v>
      </x:c>
      <x:c r="F65" s="57" t="str">
        <x:v>face the problem or music</x:v>
      </x:c>
      <x:c r="G65" s="57" t="str">
        <x:v>確認要朗讀全部選項，或拆成多段音檔</x:v>
      </x:c>
      <x:c r="H65" s="70" t="str">
        <x:v>待確認</x:v>
      </x:c>
      <x:c r="I65" s="70" t="str">
        <x:v>Book 4 Unit 1-2</x:v>
      </x:c>
      <x:c r="J65" s="76" t="n">
        <x:v>1</x:v>
      </x:c>
      <x:c r="K65" s="57" t="str">
        <x:v>face the problem / music</x:v>
      </x:c>
    </x:row>
    <x:row r="66" ht="15" hidden="0" customHeight="1">
      <x:c r="A66" s="70" t="str">
        <x:v>S-061</x:v>
      </x:c>
      <x:c r="B66" s="57" t="str">
        <x:v>fall down / over</x:v>
      </x:c>
      <x:c r="C66" s="57" t="str">
        <x:v>掉落</x:v>
      </x:c>
      <x:c r="D66" s="57" t="str"/>
      <x:c r="E66" s="57" t="str">
        <x:v>斜線替代寫法</x:v>
      </x:c>
      <x:c r="F66" s="57" t="str">
        <x:v>fall down or over</x:v>
      </x:c>
      <x:c r="G66" s="57" t="str">
        <x:v>確認要朗讀全部選項，或拆成多段音檔</x:v>
      </x:c>
      <x:c r="H66" s="70" t="str">
        <x:v>待確認</x:v>
      </x:c>
      <x:c r="I66" s="70" t="str">
        <x:v>Book 4 Unit 1-2</x:v>
      </x:c>
      <x:c r="J66" s="76" t="n">
        <x:v>1</x:v>
      </x:c>
      <x:c r="K66" s="57" t="str">
        <x:v>fall down / over</x:v>
      </x:c>
    </x:row>
    <x:row r="67" ht="15" hidden="0" customHeight="1">
      <x:c r="A67" s="70" t="str">
        <x:v>S-062</x:v>
      </x:c>
      <x:c r="B67" s="57" t="str">
        <x:v>fries (French fries)</x:v>
      </x:c>
      <x:c r="C67" s="57" t="str">
        <x:v>薯條</x:v>
      </x:c>
      <x:c r="D67" s="57" t="str">
        <x:v>n.</x:v>
      </x:c>
      <x:c r="E67" s="57" t="str">
        <x:v>括號選用字</x:v>
      </x:c>
      <x:c r="F67" s="57" t="str">
        <x:v>fries (French fries)</x:v>
      </x:c>
      <x:c r="G67" s="57" t="str">
        <x:v>確認括號內容是否朗讀；必要時拆成兩段</x:v>
      </x:c>
      <x:c r="H67" s="70" t="str">
        <x:v>待確認</x:v>
      </x:c>
      <x:c r="I67" s="70" t="str">
        <x:v>進階 L43</x:v>
      </x:c>
      <x:c r="J67" s="76" t="n">
        <x:v>1</x:v>
      </x:c>
      <x:c r="K67" s="57" t="str">
        <x:v>fries (french fries)</x:v>
      </x:c>
    </x:row>
    <x:row r="68" ht="15" hidden="0" customHeight="1">
      <x:c r="A68" s="70" t="str">
        <x:v>S-063</x:v>
      </x:c>
      <x:c r="B68" s="57" t="str">
        <x:v>from now / then on</x:v>
      </x:c>
      <x:c r="C68" s="57" t="str">
        <x:v>從現在 / 那時起</x:v>
      </x:c>
      <x:c r="D68" s="57" t="str"/>
      <x:c r="E68" s="57" t="str">
        <x:v>斜線替代寫法</x:v>
      </x:c>
      <x:c r="F68" s="57" t="str">
        <x:v>from now or then on</x:v>
      </x:c>
      <x:c r="G68" s="57" t="str">
        <x:v>確認要朗讀全部選項，或拆成多段音檔</x:v>
      </x:c>
      <x:c r="H68" s="70" t="str">
        <x:v>待確認</x:v>
      </x:c>
      <x:c r="I68" s="70" t="str">
        <x:v>Book 3 Unit 5-6</x:v>
      </x:c>
      <x:c r="J68" s="76" t="n">
        <x:v>1</x:v>
      </x:c>
      <x:c r="K68" s="57" t="str">
        <x:v>from now / then on</x:v>
      </x:c>
    </x:row>
    <x:row r="69" ht="15" hidden="0" customHeight="1">
      <x:c r="A69" s="70" t="str">
        <x:v>S-064</x:v>
      </x:c>
      <x:c r="B69" s="57" t="str">
        <x:v>get / be lost</x:v>
      </x:c>
      <x:c r="C69" s="57" t="str">
        <x:v>迷路</x:v>
      </x:c>
      <x:c r="D69" s="57" t="str"/>
      <x:c r="E69" s="57" t="str">
        <x:v>斜線替代寫法</x:v>
      </x:c>
      <x:c r="F69" s="57" t="str">
        <x:v>get or be lost</x:v>
      </x:c>
      <x:c r="G69" s="57" t="str">
        <x:v>確認要朗讀全部選項，或拆成多段音檔</x:v>
      </x:c>
      <x:c r="H69" s="70" t="str">
        <x:v>待確認</x:v>
      </x:c>
      <x:c r="I69" s="70" t="str">
        <x:v>Book 3 Unit 5-6</x:v>
      </x:c>
      <x:c r="J69" s="76" t="n">
        <x:v>1</x:v>
      </x:c>
      <x:c r="K69" s="57" t="str">
        <x:v>get / be lost</x:v>
      </x:c>
    </x:row>
    <x:row r="70" ht="15" hidden="0" customHeight="1">
      <x:c r="A70" s="70" t="str">
        <x:v>S-065</x:v>
      </x:c>
      <x:c r="B70" s="57" t="str">
        <x:v>get on / surf the Internet</x:v>
      </x:c>
      <x:c r="C70" s="57" t="str">
        <x:v>上網</x:v>
      </x:c>
      <x:c r="D70" s="57" t="str"/>
      <x:c r="E70" s="57" t="str">
        <x:v>斜線替代寫法</x:v>
      </x:c>
      <x:c r="F70" s="57" t="str">
        <x:v>get on or surf the Internet</x:v>
      </x:c>
      <x:c r="G70" s="57" t="str">
        <x:v>確認要朗讀全部選項，或拆成多段音檔</x:v>
      </x:c>
      <x:c r="H70" s="70" t="str">
        <x:v>待確認</x:v>
      </x:c>
      <x:c r="I70" s="70" t="str">
        <x:v>Book 2 Unit 3-4</x:v>
      </x:c>
      <x:c r="J70" s="76" t="n">
        <x:v>1</x:v>
      </x:c>
      <x:c r="K70" s="57" t="str">
        <x:v>get on / surf the internet</x:v>
      </x:c>
    </x:row>
    <x:row r="71" ht="15" hidden="0" customHeight="1">
      <x:c r="A71" s="70" t="str">
        <x:v>S-066</x:v>
      </x:c>
      <x:c r="B71" s="57" t="str">
        <x:v>get to / arrive at / arrive in</x:v>
      </x:c>
      <x:c r="C71" s="57" t="str">
        <x:v>抵達</x:v>
      </x:c>
      <x:c r="D71" s="57" t="str"/>
      <x:c r="E71" s="57" t="str">
        <x:v>斜線替代寫法</x:v>
      </x:c>
      <x:c r="F71" s="57" t="str">
        <x:v>get to or arrive at or arrive in</x:v>
      </x:c>
      <x:c r="G71" s="57" t="str">
        <x:v>確認要朗讀全部選項，或拆成多段音檔</x:v>
      </x:c>
      <x:c r="H71" s="70" t="str">
        <x:v>待確認</x:v>
      </x:c>
      <x:c r="I71" s="70" t="str">
        <x:v>Book 3 Unit 5-6</x:v>
      </x:c>
      <x:c r="J71" s="76" t="n">
        <x:v>1</x:v>
      </x:c>
      <x:c r="K71" s="57" t="str">
        <x:v>get to / arrive at / arrive in</x:v>
      </x:c>
    </x:row>
    <x:row r="72" ht="15" hidden="0" customHeight="1">
      <x:c r="A72" s="70" t="str">
        <x:v>S-067</x:v>
      </x:c>
      <x:c r="B72" s="57" t="str">
        <x:v>give... a big hand</x:v>
      </x:c>
      <x:c r="C72" s="57" t="str">
        <x:v>給某人熱烈掌聲</x:v>
      </x:c>
      <x:c r="D72" s="57" t="str"/>
      <x:c r="E72" s="57" t="str">
        <x:v>省略號／未完成形式</x:v>
      </x:c>
      <x:c r="F72" s="57" t="str">
        <x:v>give something a big hand</x:v>
      </x:c>
      <x:c r="G72" s="57" t="str">
        <x:v>確認朗讀草案後再產生</x:v>
      </x:c>
      <x:c r="H72" s="70" t="str">
        <x:v>待確認</x:v>
      </x:c>
      <x:c r="I72" s="70" t="str">
        <x:v>Book 4 Unit 1-2</x:v>
      </x:c>
      <x:c r="J72" s="76" t="n">
        <x:v>1</x:v>
      </x:c>
      <x:c r="K72" s="57" t="str">
        <x:v>give... a big hand</x:v>
      </x:c>
    </x:row>
    <x:row r="73" ht="15" hidden="0" customHeight="1">
      <x:c r="A73" s="70" t="str">
        <x:v>S-068</x:v>
      </x:c>
      <x:c r="B73" s="57" t="str">
        <x:v>glove(s)</x:v>
      </x:c>
      <x:c r="C73" s="57" t="str">
        <x:v>手套</x:v>
      </x:c>
      <x:c r="D73" s="57" t="str">
        <x:v>n.</x:v>
      </x:c>
      <x:c r="E73" s="57" t="str">
        <x:v>括號選用字</x:v>
      </x:c>
      <x:c r="F73" s="57" t="str">
        <x:v>glove(s)</x:v>
      </x:c>
      <x:c r="G73" s="57" t="str">
        <x:v>確認括號內容是否朗讀；必要時拆成兩段</x:v>
      </x:c>
      <x:c r="H73" s="70" t="str">
        <x:v>待確認</x:v>
      </x:c>
      <x:c r="I73" s="70" t="str">
        <x:v>Book 4 Unit 3-4</x:v>
      </x:c>
      <x:c r="J73" s="76" t="n">
        <x:v>1</x:v>
      </x:c>
      <x:c r="K73" s="57" t="str">
        <x:v>glove(s)</x:v>
      </x:c>
    </x:row>
    <x:row r="74" ht="15" hidden="0" customHeight="1">
      <x:c r="A74" s="70" t="str">
        <x:v>S-069</x:v>
      </x:c>
      <x:c r="B74" s="57" t="str">
        <x:v>go to bed / sleep</x:v>
      </x:c>
      <x:c r="C74" s="57" t="str">
        <x:v>上床睡覺</x:v>
      </x:c>
      <x:c r="D74" s="57" t="str"/>
      <x:c r="E74" s="57" t="str">
        <x:v>斜線替代寫法</x:v>
      </x:c>
      <x:c r="F74" s="57" t="str">
        <x:v>go to bed or sleep</x:v>
      </x:c>
      <x:c r="G74" s="57" t="str">
        <x:v>確認要朗讀全部選項，或拆成多段音檔</x:v>
      </x:c>
      <x:c r="H74" s="70" t="str">
        <x:v>待確認</x:v>
      </x:c>
      <x:c r="I74" s="70" t="str">
        <x:v>Book 2 Unit 1-2</x:v>
      </x:c>
      <x:c r="J74" s="76" t="n">
        <x:v>1</x:v>
      </x:c>
      <x:c r="K74" s="57" t="str">
        <x:v>go to bed / sleep</x:v>
      </x:c>
    </x:row>
    <x:row r="75" ht="15" hidden="0" customHeight="1">
      <x:c r="A75" s="70" t="str">
        <x:v>S-070</x:v>
      </x:c>
      <x:c r="B75" s="57" t="str">
        <x:v>hang... out</x:v>
      </x:c>
      <x:c r="C75" s="57" t="str">
        <x:v>把……晾在外面</x:v>
      </x:c>
      <x:c r="D75" s="57" t="str"/>
      <x:c r="E75" s="57" t="str">
        <x:v>省略號／未完成形式</x:v>
      </x:c>
      <x:c r="F75" s="57" t="str">
        <x:v>hang something out</x:v>
      </x:c>
      <x:c r="G75" s="57" t="str">
        <x:v>確認朗讀草案後再產生</x:v>
      </x:c>
      <x:c r="H75" s="70" t="str">
        <x:v>待確認</x:v>
      </x:c>
      <x:c r="I75" s="70" t="str">
        <x:v>Book 5 Unit 3-4</x:v>
      </x:c>
      <x:c r="J75" s="76" t="n">
        <x:v>1</x:v>
      </x:c>
      <x:c r="K75" s="57" t="str">
        <x:v>hang... out</x:v>
      </x:c>
    </x:row>
    <x:row r="76" ht="15" hidden="0" customHeight="1">
      <x:c r="A76" s="70" t="str">
        <x:v>S-071</x:v>
      </x:c>
      <x:c r="B76" s="57" t="str">
        <x:v>have / go on a picnic</x:v>
      </x:c>
      <x:c r="C76" s="57" t="str">
        <x:v>去野餐</x:v>
      </x:c>
      <x:c r="D76" s="57" t="str"/>
      <x:c r="E76" s="57" t="str">
        <x:v>斜線替代寫法</x:v>
      </x:c>
      <x:c r="F76" s="57" t="str">
        <x:v>have or go on a picnic</x:v>
      </x:c>
      <x:c r="G76" s="57" t="str">
        <x:v>確認要朗讀全部選項，或拆成多段音檔</x:v>
      </x:c>
      <x:c r="H76" s="70" t="str">
        <x:v>待確認</x:v>
      </x:c>
      <x:c r="I76" s="70" t="str">
        <x:v>Book 1 Unit 4-6</x:v>
      </x:c>
      <x:c r="J76" s="76" t="n">
        <x:v>1</x:v>
      </x:c>
      <x:c r="K76" s="57" t="str">
        <x:v>have / go on a picnic</x:v>
      </x:c>
    </x:row>
    <x:row r="77" ht="15" hidden="0" customHeight="1">
      <x:c r="A77" s="70" t="str">
        <x:v>S-072</x:v>
      </x:c>
      <x:c r="B77" s="57" t="str">
        <x:v>have / had to</x:v>
      </x:c>
      <x:c r="C77" s="57" t="str">
        <x:v>必須</x:v>
      </x:c>
      <x:c r="D77" s="57" t="str"/>
      <x:c r="E77" s="57" t="str">
        <x:v>斜線替代寫法</x:v>
      </x:c>
      <x:c r="F77" s="57" t="str">
        <x:v>have or had to</x:v>
      </x:c>
      <x:c r="G77" s="57" t="str">
        <x:v>確認要朗讀全部選項，或拆成多段音檔</x:v>
      </x:c>
      <x:c r="H77" s="70" t="str">
        <x:v>待確認</x:v>
      </x:c>
      <x:c r="I77" s="70" t="str">
        <x:v>Book 2 Unit 1-2</x:v>
      </x:c>
      <x:c r="J77" s="76" t="n">
        <x:v>1</x:v>
      </x:c>
      <x:c r="K77" s="57" t="str">
        <x:v>have / had to</x:v>
      </x:c>
    </x:row>
    <x:row r="78" ht="15" hidden="0" customHeight="1">
      <x:c r="A78" s="70" t="str">
        <x:v>S-073</x:v>
      </x:c>
      <x:c r="B78" s="57" t="str">
        <x:v>have / hold a party</x:v>
      </x:c>
      <x:c r="C78" s="57" t="str">
        <x:v>舉辦派對</x:v>
      </x:c>
      <x:c r="D78" s="57" t="str"/>
      <x:c r="E78" s="57" t="str">
        <x:v>斜線替代寫法</x:v>
      </x:c>
      <x:c r="F78" s="57" t="str">
        <x:v>have or hold a party</x:v>
      </x:c>
      <x:c r="G78" s="57" t="str">
        <x:v>確認要朗讀全部選項，或拆成多段音檔</x:v>
      </x:c>
      <x:c r="H78" s="70" t="str">
        <x:v>待確認</x:v>
      </x:c>
      <x:c r="I78" s="70" t="str">
        <x:v>Book 1 Unit 4-6</x:v>
      </x:c>
      <x:c r="J78" s="76" t="n">
        <x:v>1</x:v>
      </x:c>
      <x:c r="K78" s="57" t="str">
        <x:v>have / hold a party</x:v>
      </x:c>
    </x:row>
    <x:row r="79" ht="15" hidden="0" customHeight="1">
      <x:c r="A79" s="70" t="str">
        <x:v>S-074</x:v>
      </x:c>
      <x:c r="B79" s="57" t="str">
        <x:v>have / take a seat</x:v>
      </x:c>
      <x:c r="C79" s="57" t="str">
        <x:v>坐下</x:v>
      </x:c>
      <x:c r="D79" s="57" t="str"/>
      <x:c r="E79" s="57" t="str">
        <x:v>斜線替代寫法</x:v>
      </x:c>
      <x:c r="F79" s="57" t="str">
        <x:v>have or take a seat</x:v>
      </x:c>
      <x:c r="G79" s="57" t="str">
        <x:v>確認要朗讀全部選項，或拆成多段音檔</x:v>
      </x:c>
      <x:c r="H79" s="70" t="str">
        <x:v>待確認</x:v>
      </x:c>
      <x:c r="I79" s="70" t="str">
        <x:v>Book 1 Unit 4-6</x:v>
      </x:c>
      <x:c r="J79" s="76" t="n">
        <x:v>1</x:v>
      </x:c>
      <x:c r="K79" s="57" t="str">
        <x:v>have / take a seat</x:v>
      </x:c>
    </x:row>
    <x:row r="80" ht="15" hidden="0" customHeight="1">
      <x:c r="A80" s="70" t="str">
        <x:v>S-075</x:v>
      </x:c>
      <x:c r="B80" s="57" t="str">
        <x:v>have butterflies in one's stomach</x:v>
      </x:c>
      <x:c r="C80" s="57" t="str">
        <x:v>緊張</x:v>
      </x:c>
      <x:c r="D80" s="57" t="str"/>
      <x:c r="E80" s="57" t="str">
        <x:v>抽象代名詞／所有格</x:v>
      </x:c>
      <x:c r="F80" s="57" t="str">
        <x:v>have butterflies in one's stomach</x:v>
      </x:c>
      <x:c r="G80" s="57" t="str">
        <x:v>確認朗讀草案後再產生</x:v>
      </x:c>
      <x:c r="H80" s="70" t="str">
        <x:v>待確認</x:v>
      </x:c>
      <x:c r="I80" s="70" t="str">
        <x:v>Book 4 Unit 1-2</x:v>
      </x:c>
      <x:c r="J80" s="76" t="n">
        <x:v>1</x:v>
      </x:c>
      <x:c r="K80" s="57" t="str">
        <x:v>have butterflies in one's stomach</x:v>
      </x:c>
    </x:row>
    <x:row r="81" ht="15" hidden="0" customHeight="1">
      <x:c r="A81" s="70" t="str">
        <x:v>S-076</x:v>
      </x:c>
      <x:c r="B81" s="57" t="str">
        <x:v>hear of / from</x:v>
      </x:c>
      <x:c r="C81" s="57" t="str">
        <x:v>聽說 / 收到...訊息</x:v>
      </x:c>
      <x:c r="D81" s="57" t="str"/>
      <x:c r="E81" s="57" t="str">
        <x:v>斜線替代寫法</x:v>
      </x:c>
      <x:c r="F81" s="57" t="str">
        <x:v>hear of or from</x:v>
      </x:c>
      <x:c r="G81" s="57" t="str">
        <x:v>確認要朗讀全部選項，或拆成多段音檔</x:v>
      </x:c>
      <x:c r="H81" s="70" t="str">
        <x:v>待確認</x:v>
      </x:c>
      <x:c r="I81" s="70" t="str">
        <x:v>Book 4 Unit 5-6</x:v>
      </x:c>
      <x:c r="J81" s="76" t="n">
        <x:v>1</x:v>
      </x:c>
      <x:c r="K81" s="57" t="str">
        <x:v>hear of / from</x:v>
      </x:c>
    </x:row>
    <x:row r="82" ht="15" hidden="0" customHeight="1">
      <x:c r="A82" s="70" t="str">
        <x:v>S-077</x:v>
      </x:c>
      <x:c r="B82" s="57" t="str">
        <x:v>help someone with something</x:v>
      </x:c>
      <x:c r="C82" s="57" t="str">
        <x:v>幫某人做某事</x:v>
      </x:c>
      <x:c r="D82" s="57" t="str"/>
      <x:c r="E82" s="57" t="str">
        <x:v>抽象代名詞／所有格</x:v>
      </x:c>
      <x:c r="F82" s="57" t="str">
        <x:v>help someone with something</x:v>
      </x:c>
      <x:c r="G82" s="57" t="str">
        <x:v>確認朗讀草案後再產生</x:v>
      </x:c>
      <x:c r="H82" s="70" t="str">
        <x:v>待確認</x:v>
      </x:c>
      <x:c r="I82" s="70" t="str">
        <x:v>Book 2 Unit 1-2</x:v>
      </x:c>
      <x:c r="J82" s="76" t="n">
        <x:v>1</x:v>
      </x:c>
      <x:c r="K82" s="57" t="str">
        <x:v>help someone with something</x:v>
      </x:c>
    </x:row>
    <x:row r="83" ht="15" hidden="0" customHeight="1">
      <x:c r="A83" s="70" t="str">
        <x:v>S-078</x:v>
      </x:c>
      <x:c r="B83" s="57" t="str">
        <x:v>I couldn't agree (with you) more.</x:v>
      </x:c>
      <x:c r="C83" s="57" t="str">
        <x:v>我非常同意（你）。</x:v>
      </x:c>
      <x:c r="D83" s="57" t="str"/>
      <x:c r="E83" s="57" t="str">
        <x:v>括號選用字</x:v>
      </x:c>
      <x:c r="F83" s="57" t="str">
        <x:v>I couldn't agree (with you) more.</x:v>
      </x:c>
      <x:c r="G83" s="57" t="str">
        <x:v>確認括號內容是否朗讀；必要時拆成兩段</x:v>
      </x:c>
      <x:c r="H83" s="70" t="str">
        <x:v>待確認</x:v>
      </x:c>
      <x:c r="I83" s="70" t="str">
        <x:v>Book 6 Unit 3-4</x:v>
      </x:c>
      <x:c r="J83" s="76" t="n">
        <x:v>1</x:v>
      </x:c>
      <x:c r="K83" s="57" t="str">
        <x:v>i couldn't agree (with you) more.</x:v>
      </x:c>
    </x:row>
    <x:row r="84" ht="15" hidden="0" customHeight="1">
      <x:c r="A84" s="70" t="str">
        <x:v>S-079</x:v>
      </x:c>
      <x:c r="B84" s="57" t="str">
        <x:v>in a... way</x:v>
      </x:c>
      <x:c r="C84" s="57" t="str">
        <x:v>以......的方式</x:v>
      </x:c>
      <x:c r="D84" s="57" t="str"/>
      <x:c r="E84" s="57" t="str">
        <x:v>省略號／未完成形式</x:v>
      </x:c>
      <x:c r="F84" s="57" t="str">
        <x:v>in a something way</x:v>
      </x:c>
      <x:c r="G84" s="57" t="str">
        <x:v>確認朗讀草案後再產生</x:v>
      </x:c>
      <x:c r="H84" s="70" t="str">
        <x:v>待確認</x:v>
      </x:c>
      <x:c r="I84" s="70" t="str">
        <x:v>Book 3 Unit 3-4</x:v>
      </x:c>
      <x:c r="J84" s="76" t="n">
        <x:v>1</x:v>
      </x:c>
      <x:c r="K84" s="57" t="str">
        <x:v>in a... way</x:v>
      </x:c>
    </x:row>
    <x:row r="85" ht="15" hidden="0" customHeight="1">
      <x:c r="A85" s="70" t="str">
        <x:v>S-080</x:v>
      </x:c>
      <x:c r="B85" s="57" t="str">
        <x:v>in case / in that case</x:v>
      </x:c>
      <x:c r="C85" s="57" t="str">
        <x:v>倘若 / 既然那樣</x:v>
      </x:c>
      <x:c r="D85" s="57" t="str"/>
      <x:c r="E85" s="57" t="str">
        <x:v>斜線替代寫法</x:v>
      </x:c>
      <x:c r="F85" s="57" t="str">
        <x:v>in case or in that case</x:v>
      </x:c>
      <x:c r="G85" s="57" t="str">
        <x:v>確認要朗讀全部選項，或拆成多段音檔</x:v>
      </x:c>
      <x:c r="H85" s="70" t="str">
        <x:v>待確認</x:v>
      </x:c>
      <x:c r="I85" s="70" t="str">
        <x:v>Book 4 Unit 5-6</x:v>
      </x:c>
      <x:c r="J85" s="76" t="n">
        <x:v>1</x:v>
      </x:c>
      <x:c r="K85" s="57" t="str">
        <x:v>in case / in that case</x:v>
      </x:c>
    </x:row>
    <x:row r="86" ht="15" hidden="0" customHeight="1">
      <x:c r="A86" s="70" t="str">
        <x:v>S-081</x:v>
      </x:c>
      <x:c r="B86" s="57" t="str">
        <x:v>in one's free time</x:v>
      </x:c>
      <x:c r="C86" s="57" t="str">
        <x:v>某人有空時</x:v>
      </x:c>
      <x:c r="D86" s="57" t="str"/>
      <x:c r="E86" s="57" t="str">
        <x:v>抽象代名詞／所有格</x:v>
      </x:c>
      <x:c r="F86" s="57" t="str">
        <x:v>in one's free time</x:v>
      </x:c>
      <x:c r="G86" s="57" t="str">
        <x:v>確認朗讀草案後再產生</x:v>
      </x:c>
      <x:c r="H86" s="70" t="str">
        <x:v>待確認</x:v>
      </x:c>
      <x:c r="I86" s="70" t="str">
        <x:v>Book 2 Unit 3-4</x:v>
      </x:c>
      <x:c r="J86" s="76" t="n">
        <x:v>1</x:v>
      </x:c>
      <x:c r="K86" s="57" t="str">
        <x:v>in one's free time</x:v>
      </x:c>
    </x:row>
    <x:row r="87" ht="15" hidden="0" customHeight="1">
      <x:c r="A87" s="70" t="str">
        <x:v>S-082</x:v>
      </x:c>
      <x:c r="B87" s="57" t="str">
        <x:v>in the past / future</x:v>
      </x:c>
      <x:c r="C87" s="57" t="str">
        <x:v>在過去 / 未來</x:v>
      </x:c>
      <x:c r="D87" s="57" t="str"/>
      <x:c r="E87" s="57" t="str">
        <x:v>斜線替代寫法</x:v>
      </x:c>
      <x:c r="F87" s="57" t="str">
        <x:v>in the past or future</x:v>
      </x:c>
      <x:c r="G87" s="57" t="str">
        <x:v>確認要朗讀全部選項，或拆成多段音檔</x:v>
      </x:c>
      <x:c r="H87" s="70" t="str">
        <x:v>待確認</x:v>
      </x:c>
      <x:c r="I87" s="70" t="str">
        <x:v>Book 3 Unit 5-6</x:v>
      </x:c>
      <x:c r="J87" s="76" t="n">
        <x:v>1</x:v>
      </x:c>
      <x:c r="K87" s="57" t="str">
        <x:v>in the past / future</x:v>
      </x:c>
    </x:row>
    <x:row r="88" ht="15" hidden="0" customHeight="1">
      <x:c r="A88" s="70" t="str">
        <x:v>S-083</x:v>
      </x:c>
      <x:c r="B88" s="57" t="str">
        <x:v>It's a deal. / Let's make a deal.</x:v>
      </x:c>
      <x:c r="C88" s="57" t="str">
        <x:v>一言為定 / 做個約定</x:v>
      </x:c>
      <x:c r="D88" s="57" t="str"/>
      <x:c r="E88" s="57" t="str">
        <x:v>斜線替代寫法</x:v>
      </x:c>
      <x:c r="F88" s="57" t="str">
        <x:v>It's a deal. or Let's make a deal.</x:v>
      </x:c>
      <x:c r="G88" s="57" t="str">
        <x:v>確認要朗讀全部選項，或拆成多段音檔</x:v>
      </x:c>
      <x:c r="H88" s="70" t="str">
        <x:v>待確認</x:v>
      </x:c>
      <x:c r="I88" s="70" t="str">
        <x:v>Book 5 Unit 5-6</x:v>
      </x:c>
      <x:c r="J88" s="76" t="n">
        <x:v>1</x:v>
      </x:c>
      <x:c r="K88" s="57" t="str">
        <x:v>it's a deal. / let's make a deal.</x:v>
      </x:c>
    </x:row>
    <x:row r="89" ht="15" hidden="0" customHeight="1">
      <x:c r="A89" s="70" t="str">
        <x:v>S-084</x:v>
      </x:c>
      <x:c r="B89" s="57" t="str">
        <x:v>keep / stay in touch</x:v>
      </x:c>
      <x:c r="C89" s="57" t="str">
        <x:v>保持聯絡</x:v>
      </x:c>
      <x:c r="D89" s="57" t="str"/>
      <x:c r="E89" s="57" t="str">
        <x:v>斜線替代寫法</x:v>
      </x:c>
      <x:c r="F89" s="57" t="str">
        <x:v>keep or stay in touch</x:v>
      </x:c>
      <x:c r="G89" s="57" t="str">
        <x:v>確認要朗讀全部選項，或拆成多段音檔</x:v>
      </x:c>
      <x:c r="H89" s="70" t="str">
        <x:v>待確認</x:v>
      </x:c>
      <x:c r="I89" s="70" t="str">
        <x:v>Book 2 Unit 5-6</x:v>
      </x:c>
      <x:c r="J89" s="76" t="n">
        <x:v>1</x:v>
      </x:c>
      <x:c r="K89" s="57" t="str">
        <x:v>keep / stay in touch</x:v>
      </x:c>
    </x:row>
    <x:row r="90" ht="15" hidden="0" customHeight="1">
      <x:c r="A90" s="70" t="str">
        <x:v>S-085</x:v>
      </x:c>
      <x:c r="B90" s="57" t="str">
        <x:v>keep... in mind</x:v>
      </x:c>
      <x:c r="C90" s="57" t="str">
        <x:v>記得……</x:v>
      </x:c>
      <x:c r="D90" s="57" t="str"/>
      <x:c r="E90" s="57" t="str">
        <x:v>省略號／未完成形式</x:v>
      </x:c>
      <x:c r="F90" s="57" t="str">
        <x:v>keep something in mind</x:v>
      </x:c>
      <x:c r="G90" s="57" t="str">
        <x:v>確認朗讀草案後再產生</x:v>
      </x:c>
      <x:c r="H90" s="70" t="str">
        <x:v>待確認</x:v>
      </x:c>
      <x:c r="I90" s="70" t="str">
        <x:v>Book 4 Unit 1-2</x:v>
      </x:c>
      <x:c r="J90" s="76" t="n">
        <x:v>1</x:v>
      </x:c>
      <x:c r="K90" s="57" t="str">
        <x:v>keep... in mind</x:v>
      </x:c>
    </x:row>
    <x:row r="91" ht="15" hidden="0" customHeight="1">
      <x:c r="A91" s="70" t="str">
        <x:v>S-086</x:v>
      </x:c>
      <x:c r="B91" s="57" t="str">
        <x:v>kilogram (kg)</x:v>
      </x:c>
      <x:c r="C91" s="57" t="str">
        <x:v>公斤</x:v>
      </x:c>
      <x:c r="D91" s="57" t="str">
        <x:v>n.</x:v>
      </x:c>
      <x:c r="E91" s="57" t="str">
        <x:v>括號選用字</x:v>
      </x:c>
      <x:c r="F91" s="57" t="str">
        <x:v>kilogram (kg)</x:v>
      </x:c>
      <x:c r="G91" s="57" t="str">
        <x:v>確認括號內容是否朗讀；必要時拆成兩段</x:v>
      </x:c>
      <x:c r="H91" s="70" t="str">
        <x:v>待確認</x:v>
      </x:c>
      <x:c r="I91" s="70" t="str">
        <x:v>Book 4 Unit 3-4</x:v>
      </x:c>
      <x:c r="J91" s="76" t="n">
        <x:v>1</x:v>
      </x:c>
      <x:c r="K91" s="57" t="str">
        <x:v>kilogram (kg)</x:v>
      </x:c>
    </x:row>
    <x:row r="92" ht="15" hidden="0" customHeight="1">
      <x:c r="A92" s="70" t="str">
        <x:v>S-087</x:v>
      </x:c>
      <x:c r="B92" s="57" t="str">
        <x:v>last name / family name</x:v>
      </x:c>
      <x:c r="C92" s="57" t="str">
        <x:v>姓氏</x:v>
      </x:c>
      <x:c r="D92" s="57" t="str">
        <x:v>n.</x:v>
      </x:c>
      <x:c r="E92" s="57" t="str">
        <x:v>斜線替代寫法</x:v>
      </x:c>
      <x:c r="F92" s="57" t="str">
        <x:v>last name or family name</x:v>
      </x:c>
      <x:c r="G92" s="57" t="str">
        <x:v>確認要朗讀全部選項，或拆成多段音檔</x:v>
      </x:c>
      <x:c r="H92" s="70" t="str">
        <x:v>待確認</x:v>
      </x:c>
      <x:c r="I92" s="70" t="str">
        <x:v>進階 L3</x:v>
      </x:c>
      <x:c r="J92" s="76" t="n">
        <x:v>1</x:v>
      </x:c>
      <x:c r="K92" s="57" t="str">
        <x:v>last name / family name</x:v>
      </x:c>
    </x:row>
    <x:row r="93" ht="15" hidden="0" customHeight="1">
      <x:c r="A93" s="70" t="str">
        <x:v>S-088</x:v>
      </x:c>
      <x:c r="B93" s="57" t="str">
        <x:v>learn from...</x:v>
      </x:c>
      <x:c r="C93" s="57" t="str">
        <x:v>從......學到</x:v>
      </x:c>
      <x:c r="D93" s="57" t="str"/>
      <x:c r="E93" s="57" t="str">
        <x:v>省略號／未完成形式</x:v>
      </x:c>
      <x:c r="F93" s="57" t="str">
        <x:v>learn from something</x:v>
      </x:c>
      <x:c r="G93" s="57" t="str">
        <x:v>確認朗讀草案後再產生</x:v>
      </x:c>
      <x:c r="H93" s="70" t="str">
        <x:v>待確認</x:v>
      </x:c>
      <x:c r="I93" s="70" t="str">
        <x:v>Book 2 Unit 3-4</x:v>
      </x:c>
      <x:c r="J93" s="76" t="n">
        <x:v>1</x:v>
      </x:c>
      <x:c r="K93" s="57" t="str">
        <x:v>learn from...</x:v>
      </x:c>
    </x:row>
    <x:row r="94" ht="15" hidden="0" customHeight="1">
      <x:c r="A94" s="70" t="str">
        <x:v>S-089</x:v>
      </x:c>
      <x:c r="B94" s="57" t="str">
        <x:v>lose one's job</x:v>
      </x:c>
      <x:c r="C94" s="57" t="str">
        <x:v>失業</x:v>
      </x:c>
      <x:c r="D94" s="57" t="str"/>
      <x:c r="E94" s="57" t="str">
        <x:v>抽象代名詞／所有格</x:v>
      </x:c>
      <x:c r="F94" s="57" t="str">
        <x:v>lose one's job</x:v>
      </x:c>
      <x:c r="G94" s="57" t="str">
        <x:v>確認朗讀草案後再產生</x:v>
      </x:c>
      <x:c r="H94" s="70" t="str">
        <x:v>待確認</x:v>
      </x:c>
      <x:c r="I94" s="70" t="str">
        <x:v>Book 3 Unit 3-4</x:v>
      </x:c>
      <x:c r="J94" s="76" t="n">
        <x:v>1</x:v>
      </x:c>
      <x:c r="K94" s="57" t="str">
        <x:v>lose one's job</x:v>
      </x:c>
    </x:row>
    <x:row r="95" ht="15" hidden="0" customHeight="1">
      <x:c r="A95" s="70" t="str">
        <x:v>S-090</x:v>
      </x:c>
      <x:c r="B95" s="57" t="str">
        <x:v>mailman (mail carrier)</x:v>
      </x:c>
      <x:c r="C95" s="57" t="str">
        <x:v>郵差</x:v>
      </x:c>
      <x:c r="D95" s="57" t="str">
        <x:v>n.</x:v>
      </x:c>
      <x:c r="E95" s="57" t="str">
        <x:v>括號選用字</x:v>
      </x:c>
      <x:c r="F95" s="57" t="str">
        <x:v>mailman (mail carrier)</x:v>
      </x:c>
      <x:c r="G95" s="57" t="str">
        <x:v>確認括號內容是否朗讀；必要時拆成兩段</x:v>
      </x:c>
      <x:c r="H95" s="70" t="str">
        <x:v>待確認</x:v>
      </x:c>
      <x:c r="I95" s="70" t="str">
        <x:v>Book 5 Unit 5-6</x:v>
      </x:c>
      <x:c r="J95" s="76" t="n">
        <x:v>1</x:v>
      </x:c>
      <x:c r="K95" s="57" t="str">
        <x:v>mailman (mail carrier)</x:v>
      </x:c>
    </x:row>
    <x:row r="96" ht="15" hidden="0" customHeight="1">
      <x:c r="A96" s="70" t="str">
        <x:v>S-091</x:v>
      </x:c>
      <x:c r="B96" s="57" t="str">
        <x:v>make up one's mind</x:v>
      </x:c>
      <x:c r="C96" s="57" t="str">
        <x:v>下定決心</x:v>
      </x:c>
      <x:c r="D96" s="57" t="str"/>
      <x:c r="E96" s="57" t="str">
        <x:v>抽象代名詞／所有格</x:v>
      </x:c>
      <x:c r="F96" s="57" t="str">
        <x:v>make up one's mind</x:v>
      </x:c>
      <x:c r="G96" s="57" t="str">
        <x:v>確認朗讀草案後再產生</x:v>
      </x:c>
      <x:c r="H96" s="70" t="str">
        <x:v>待確認</x:v>
      </x:c>
      <x:c r="I96" s="70" t="str">
        <x:v>Book 5 Unit 1-2</x:v>
      </x:c>
      <x:c r="J96" s="76" t="n">
        <x:v>1</x:v>
      </x:c>
      <x:c r="K96" s="57" t="str">
        <x:v>make up one's mind</x:v>
      </x:c>
    </x:row>
    <x:row r="97" ht="15" hidden="0" customHeight="1">
      <x:c r="A97" s="70" t="str">
        <x:v>S-092</x:v>
      </x:c>
      <x:c r="B97" s="57" t="str">
        <x:v>near/by</x:v>
      </x:c>
      <x:c r="C97" s="57" t="str">
        <x:v>近的；接近</x:v>
      </x:c>
      <x:c r="D97" s="57" t="str">
        <x:v>adj./adv.</x:v>
      </x:c>
      <x:c r="E97" s="57" t="str">
        <x:v>斜線替代寫法</x:v>
      </x:c>
      <x:c r="F97" s="57" t="str">
        <x:v>near or by</x:v>
      </x:c>
      <x:c r="G97" s="57" t="str">
        <x:v>確認要朗讀全部選項，或拆成多段音檔</x:v>
      </x:c>
      <x:c r="H97" s="70" t="str">
        <x:v>待確認</x:v>
      </x:c>
      <x:c r="I97" s="70" t="str">
        <x:v>進階 L130</x:v>
      </x:c>
      <x:c r="J97" s="76" t="n">
        <x:v>1</x:v>
      </x:c>
      <x:c r="K97" s="57" t="str">
        <x:v>near/by</x:v>
      </x:c>
    </x:row>
    <x:row r="98" ht="15" hidden="0" customHeight="1">
      <x:c r="A98" s="70" t="str">
        <x:v>S-093</x:v>
      </x:c>
      <x:c r="B98" s="57" t="str">
        <x:v>Of course / Of course not.</x:v>
      </x:c>
      <x:c r="C98" s="57" t="str">
        <x:v>當然 / 當然不。</x:v>
      </x:c>
      <x:c r="D98" s="57" t="str"/>
      <x:c r="E98" s="57" t="str">
        <x:v>斜線替代寫法</x:v>
      </x:c>
      <x:c r="F98" s="57" t="str">
        <x:v>Of course or Of course not.</x:v>
      </x:c>
      <x:c r="G98" s="57" t="str">
        <x:v>確認要朗讀全部選項，或拆成多段音檔</x:v>
      </x:c>
      <x:c r="H98" s="70" t="str">
        <x:v>待確認</x:v>
      </x:c>
      <x:c r="I98" s="70" t="str">
        <x:v>Book 4 Unit 1-2</x:v>
      </x:c>
      <x:c r="J98" s="76" t="n">
        <x:v>1</x:v>
      </x:c>
      <x:c r="K98" s="57" t="str">
        <x:v>of course / of course not.</x:v>
      </x:c>
    </x:row>
    <x:row r="99" ht="15" hidden="0" customHeight="1">
      <x:c r="A99" s="70" t="str">
        <x:v>S-094</x:v>
      </x:c>
      <x:c r="B99" s="57" t="str">
        <x:v>on one's own</x:v>
      </x:c>
      <x:c r="C99" s="57" t="str">
        <x:v>靠某人自己</x:v>
      </x:c>
      <x:c r="D99" s="57" t="str"/>
      <x:c r="E99" s="57" t="str">
        <x:v>抽象代名詞／所有格</x:v>
      </x:c>
      <x:c r="F99" s="57" t="str">
        <x:v>on one's own</x:v>
      </x:c>
      <x:c r="G99" s="57" t="str">
        <x:v>確認朗讀草案後再產生</x:v>
      </x:c>
      <x:c r="H99" s="70" t="str">
        <x:v>待確認</x:v>
      </x:c>
      <x:c r="I99" s="70" t="str">
        <x:v>Book 4 Unit 3-4</x:v>
      </x:c>
      <x:c r="J99" s="76" t="n">
        <x:v>1</x:v>
      </x:c>
      <x:c r="K99" s="57" t="str">
        <x:v>on one's own</x:v>
      </x:c>
    </x:row>
    <x:row r="100" ht="15" hidden="0" customHeight="1">
      <x:c r="A100" s="70" t="str">
        <x:v>S-095</x:v>
      </x:c>
      <x:c r="B100" s="57" t="str">
        <x:v>on the way to...</x:v>
      </x:c>
      <x:c r="C100" s="57" t="str">
        <x:v>在去......路上</x:v>
      </x:c>
      <x:c r="D100" s="57" t="str"/>
      <x:c r="E100" s="57" t="str">
        <x:v>省略號／未完成形式</x:v>
      </x:c>
      <x:c r="F100" s="57" t="str">
        <x:v>on the way to something</x:v>
      </x:c>
      <x:c r="G100" s="57" t="str">
        <x:v>確認朗讀草案後再產生</x:v>
      </x:c>
      <x:c r="H100" s="70" t="str">
        <x:v>待確認</x:v>
      </x:c>
      <x:c r="I100" s="70" t="str">
        <x:v>Book 2 Unit 3-4</x:v>
      </x:c>
      <x:c r="J100" s="76" t="n">
        <x:v>1</x:v>
      </x:c>
      <x:c r="K100" s="57" t="str">
        <x:v>on the way to...</x:v>
      </x:c>
    </x:row>
    <x:row r="101" ht="15" hidden="0" customHeight="1">
      <x:c r="A101" s="70" t="str">
        <x:v>S-096</x:v>
      </x:c>
      <x:c r="B101" s="57" t="str">
        <x:v>on... team</x:v>
      </x:c>
      <x:c r="C101" s="57" t="str">
        <x:v>在......隊中</x:v>
      </x:c>
      <x:c r="D101" s="57" t="str"/>
      <x:c r="E101" s="57" t="str">
        <x:v>省略號／未完成形式</x:v>
      </x:c>
      <x:c r="F101" s="57" t="str">
        <x:v>on something team</x:v>
      </x:c>
      <x:c r="G101" s="57" t="str">
        <x:v>確認朗讀草案後再產生</x:v>
      </x:c>
      <x:c r="H101" s="70" t="str">
        <x:v>待確認</x:v>
      </x:c>
      <x:c r="I101" s="70" t="str">
        <x:v>Book 2 Unit 3-4</x:v>
      </x:c>
      <x:c r="J101" s="76" t="n">
        <x:v>1</x:v>
      </x:c>
      <x:c r="K101" s="57" t="str">
        <x:v>on... team</x:v>
      </x:c>
    </x:row>
    <x:row r="102" ht="15" hidden="0" customHeight="1">
      <x:c r="A102" s="70" t="str">
        <x:v>S-097</x:v>
      </x:c>
      <x:c r="B102" s="57" t="str">
        <x:v>once / twice a year</x:v>
      </x:c>
      <x:c r="C102" s="57" t="str">
        <x:v>一年一/兩次</x:v>
      </x:c>
      <x:c r="D102" s="57" t="str"/>
      <x:c r="E102" s="57" t="str">
        <x:v>斜線替代寫法</x:v>
      </x:c>
      <x:c r="F102" s="57" t="str">
        <x:v>once or twice a year</x:v>
      </x:c>
      <x:c r="G102" s="57" t="str">
        <x:v>確認要朗讀全部選項，或拆成多段音檔</x:v>
      </x:c>
      <x:c r="H102" s="70" t="str">
        <x:v>待確認</x:v>
      </x:c>
      <x:c r="I102" s="70" t="str">
        <x:v>Book 4 Unit 3-4</x:v>
      </x:c>
      <x:c r="J102" s="76" t="n">
        <x:v>1</x:v>
      </x:c>
      <x:c r="K102" s="57" t="str">
        <x:v>once / twice a year</x:v>
      </x:c>
    </x:row>
    <x:row r="103" ht="15" hidden="0" customHeight="1">
      <x:c r="A103" s="70" t="str">
        <x:v>S-098</x:v>
      </x:c>
      <x:c r="B103" s="57" t="str">
        <x:v>PE/physical education</x:v>
      </x:c>
      <x:c r="C103" s="57" t="str">
        <x:v>體育課</x:v>
      </x:c>
      <x:c r="D103" s="57" t="str">
        <x:v>n.</x:v>
      </x:c>
      <x:c r="E103" s="57" t="str">
        <x:v>斜線替代寫法</x:v>
      </x:c>
      <x:c r="F103" s="57" t="str">
        <x:v>PE or physical education</x:v>
      </x:c>
      <x:c r="G103" s="57" t="str">
        <x:v>確認要朗讀全部選項，或拆成多段音檔</x:v>
      </x:c>
      <x:c r="H103" s="70" t="str">
        <x:v>待確認</x:v>
      </x:c>
      <x:c r="I103" s="70" t="str">
        <x:v>進階 L76</x:v>
      </x:c>
      <x:c r="J103" s="76" t="n">
        <x:v>1</x:v>
      </x:c>
      <x:c r="K103" s="57" t="str">
        <x:v>pe/physical education</x:v>
      </x:c>
    </x:row>
    <x:row r="104" ht="15" hidden="0" customHeight="1">
      <x:c r="A104" s="70" t="str">
        <x:v>S-099</x:v>
      </x:c>
      <x:c r="B104" s="57" t="str">
        <x:v>pencil box/pencil case</x:v>
      </x:c>
      <x:c r="C104" s="57" t="str">
        <x:v>鉛筆盒</x:v>
      </x:c>
      <x:c r="D104" s="57" t="str">
        <x:v>n.</x:v>
      </x:c>
      <x:c r="E104" s="57" t="str">
        <x:v>斜線替代寫法</x:v>
      </x:c>
      <x:c r="F104" s="57" t="str">
        <x:v>pencil box or pencil case</x:v>
      </x:c>
      <x:c r="G104" s="57" t="str">
        <x:v>確認要朗讀全部選項，或拆成多段音檔</x:v>
      </x:c>
      <x:c r="H104" s="70" t="str">
        <x:v>待確認</x:v>
      </x:c>
      <x:c r="I104" s="70" t="str">
        <x:v>進階 L80</x:v>
      </x:c>
      <x:c r="J104" s="76" t="n">
        <x:v>1</x:v>
      </x:c>
      <x:c r="K104" s="57" t="str">
        <x:v>pencil box/pencil case</x:v>
      </x:c>
    </x:row>
    <x:row r="105" ht="15" hidden="0" customHeight="1">
      <x:c r="A105" s="70" t="str">
        <x:v>S-100</x:v>
      </x:c>
      <x:c r="B105" s="57" t="str">
        <x:v>put on / take off</x:v>
      </x:c>
      <x:c r="C105" s="57" t="str">
        <x:v>穿戴上 / 脫掉</x:v>
      </x:c>
      <x:c r="D105" s="57" t="str"/>
      <x:c r="E105" s="57" t="str">
        <x:v>斜線替代寫法</x:v>
      </x:c>
      <x:c r="F105" s="57" t="str">
        <x:v>put on or take off</x:v>
      </x:c>
      <x:c r="G105" s="57" t="str">
        <x:v>確認要朗讀全部選項，或拆成多段音檔</x:v>
      </x:c>
      <x:c r="H105" s="70" t="str">
        <x:v>待確認</x:v>
      </x:c>
      <x:c r="I105" s="70" t="str">
        <x:v>Book 4 Unit 3-4</x:v>
      </x:c>
      <x:c r="J105" s="76" t="n">
        <x:v>1</x:v>
      </x:c>
      <x:c r="K105" s="57" t="str">
        <x:v>put on / take off</x:v>
      </x:c>
    </x:row>
    <x:row r="106" ht="15" hidden="0" customHeight="1">
      <x:c r="A106" s="70" t="str">
        <x:v>S-101</x:v>
      </x:c>
      <x:c r="B106" s="57" t="str">
        <x:v>put yourself in one's shoes</x:v>
      </x:c>
      <x:c r="C106" s="57" t="str">
        <x:v>設身處地想</x:v>
      </x:c>
      <x:c r="D106" s="57" t="str"/>
      <x:c r="E106" s="57" t="str">
        <x:v>抽象代名詞／所有格</x:v>
      </x:c>
      <x:c r="F106" s="57" t="str">
        <x:v>put yourself in one's shoes</x:v>
      </x:c>
      <x:c r="G106" s="57" t="str">
        <x:v>確認朗讀草案後再產生</x:v>
      </x:c>
      <x:c r="H106" s="70" t="str">
        <x:v>待確認</x:v>
      </x:c>
      <x:c r="I106" s="70" t="str">
        <x:v>Book 4 Unit 3-4</x:v>
      </x:c>
      <x:c r="J106" s="76" t="n">
        <x:v>1</x:v>
      </x:c>
      <x:c r="K106" s="57" t="str">
        <x:v>put yourself in one's shoes</x:v>
      </x:c>
    </x:row>
    <x:row r="107" ht="15" hidden="0" customHeight="1">
      <x:c r="A107" s="70" t="str">
        <x:v>S-102</x:v>
      </x:c>
      <x:c r="B107" s="57" t="str">
        <x:v>show someone around</x:v>
      </x:c>
      <x:c r="C107" s="57" t="str">
        <x:v>帶某人四處看</x:v>
      </x:c>
      <x:c r="D107" s="57" t="str"/>
      <x:c r="E107" s="57" t="str">
        <x:v>抽象代名詞／所有格</x:v>
      </x:c>
      <x:c r="F107" s="57" t="str">
        <x:v>show someone around</x:v>
      </x:c>
      <x:c r="G107" s="57" t="str">
        <x:v>確認朗讀草案後再產生</x:v>
      </x:c>
      <x:c r="H107" s="70" t="str">
        <x:v>待確認</x:v>
      </x:c>
      <x:c r="I107" s="70" t="str">
        <x:v>Book 3 Unit 5-6</x:v>
      </x:c>
      <x:c r="J107" s="76" t="n">
        <x:v>1</x:v>
      </x:c>
      <x:c r="K107" s="57" t="str">
        <x:v>show someone around</x:v>
      </x:c>
    </x:row>
    <x:row r="108" ht="15" hidden="0" customHeight="1">
      <x:c r="A108" s="70" t="str">
        <x:v>S-103</x:v>
      </x:c>
      <x:c r="B108" s="57" t="str">
        <x:v>show someone the way</x:v>
      </x:c>
      <x:c r="C108" s="57" t="str">
        <x:v>指路</x:v>
      </x:c>
      <x:c r="D108" s="57" t="str"/>
      <x:c r="E108" s="57" t="str">
        <x:v>抽象代名詞／所有格</x:v>
      </x:c>
      <x:c r="F108" s="57" t="str">
        <x:v>show someone the way</x:v>
      </x:c>
      <x:c r="G108" s="57" t="str">
        <x:v>確認朗讀草案後再產生</x:v>
      </x:c>
      <x:c r="H108" s="70" t="str">
        <x:v>待確認</x:v>
      </x:c>
      <x:c r="I108" s="70" t="str">
        <x:v>Book 3 Unit 5-6</x:v>
      </x:c>
      <x:c r="J108" s="76" t="n">
        <x:v>1</x:v>
      </x:c>
      <x:c r="K108" s="57" t="str">
        <x:v>show someone the way</x:v>
      </x:c>
    </x:row>
    <x:row r="109" ht="15" hidden="0" customHeight="1">
      <x:c r="A109" s="70" t="str">
        <x:v>S-104</x:v>
      </x:c>
      <x:c r="B109" s="57" t="str">
        <x:v>so... that</x:v>
      </x:c>
      <x:c r="C109" s="57" t="str">
        <x:v>如此……以至於</x:v>
      </x:c>
      <x:c r="D109" s="57" t="str">
        <x:v>conj.</x:v>
      </x:c>
      <x:c r="E109" s="57" t="str">
        <x:v>省略號／未完成形式</x:v>
      </x:c>
      <x:c r="F109" s="57" t="str">
        <x:v>so something that</x:v>
      </x:c>
      <x:c r="G109" s="57" t="str">
        <x:v>確認朗讀草案後再產生</x:v>
      </x:c>
      <x:c r="H109" s="70" t="str">
        <x:v>待確認</x:v>
      </x:c>
      <x:c r="I109" s="70" t="str">
        <x:v>進階 L133</x:v>
      </x:c>
      <x:c r="J109" s="76" t="n">
        <x:v>1</x:v>
      </x:c>
      <x:c r="K109" s="57" t="str">
        <x:v>so... that</x:v>
      </x:c>
    </x:row>
    <x:row r="110" ht="15" hidden="0" customHeight="1">
      <x:c r="A110" s="70" t="str">
        <x:v>S-105</x:v>
      </x:c>
      <x:c r="B110" s="57" t="str">
        <x:v>sock(s)</x:v>
      </x:c>
      <x:c r="C110" s="57" t="str">
        <x:v>襪子</x:v>
      </x:c>
      <x:c r="D110" s="57" t="str">
        <x:v>n.</x:v>
      </x:c>
      <x:c r="E110" s="57" t="str">
        <x:v>括號選用字</x:v>
      </x:c>
      <x:c r="F110" s="57" t="str">
        <x:v>sock(s)</x:v>
      </x:c>
      <x:c r="G110" s="57" t="str">
        <x:v>確認括號內容是否朗讀；必要時拆成兩段</x:v>
      </x:c>
      <x:c r="H110" s="70" t="str">
        <x:v>待確認</x:v>
      </x:c>
      <x:c r="I110" s="70" t="str">
        <x:v>Book 4 Unit 3-4</x:v>
      </x:c>
      <x:c r="J110" s="76" t="n">
        <x:v>1</x:v>
      </x:c>
      <x:c r="K110" s="57" t="str">
        <x:v>sock(s)</x:v>
      </x:c>
    </x:row>
    <x:row r="111" ht="15" hidden="0" customHeight="1">
      <x:c r="A111" s="70" t="str">
        <x:v>S-106</x:v>
      </x:c>
      <x:c r="B111" s="57" t="str">
        <x:v>somebody</x:v>
      </x:c>
      <x:c r="C111" s="57" t="str">
        <x:v>了不起的人；有人</x:v>
      </x:c>
      <x:c r="D111" s="57" t="str">
        <x:v>n./pron.</x:v>
      </x:c>
      <x:c r="E111" s="57" t="str">
        <x:v>抽象代名詞／所有格</x:v>
      </x:c>
      <x:c r="F111" s="57" t="str">
        <x:v>somebody</x:v>
      </x:c>
      <x:c r="G111" s="57" t="str">
        <x:v>確認朗讀草案後再產生</x:v>
      </x:c>
      <x:c r="H111" s="70" t="str">
        <x:v>待確認</x:v>
      </x:c>
      <x:c r="I111" s="70" t="str">
        <x:v>進階 L127</x:v>
      </x:c>
      <x:c r="J111" s="76" t="n">
        <x:v>1</x:v>
      </x:c>
      <x:c r="K111" s="57" t="str">
        <x:v>somebody</x:v>
      </x:c>
    </x:row>
    <x:row r="112" ht="15" hidden="0" customHeight="1">
      <x:c r="A112" s="70" t="str">
        <x:v>S-107</x:v>
      </x:c>
      <x:c r="B112" s="57" t="str">
        <x:v>someone</x:v>
      </x:c>
      <x:c r="C112" s="57" t="str">
        <x:v>有人</x:v>
      </x:c>
      <x:c r="D112" s="57" t="str">
        <x:v>pron./n.</x:v>
      </x:c>
      <x:c r="E112" s="57" t="str">
        <x:v>抽象代名詞／所有格</x:v>
      </x:c>
      <x:c r="F112" s="57" t="str">
        <x:v>someone</x:v>
      </x:c>
      <x:c r="G112" s="57" t="str">
        <x:v>確認朗讀草案後再產生</x:v>
      </x:c>
      <x:c r="H112" s="70" t="str">
        <x:v>待確認</x:v>
      </x:c>
      <x:c r="I112" s="70" t="str">
        <x:v>進階 L127</x:v>
      </x:c>
      <x:c r="J112" s="76" t="n">
        <x:v>1</x:v>
      </x:c>
      <x:c r="K112" s="57" t="str">
        <x:v>someone</x:v>
      </x:c>
    </x:row>
    <x:row r="113" ht="15" hidden="0" customHeight="1">
      <x:c r="A113" s="70" t="str">
        <x:v>S-108</x:v>
      </x:c>
      <x:c r="B113" s="57" t="str">
        <x:v>take (the) medicine</x:v>
      </x:c>
      <x:c r="C113" s="57" t="str">
        <x:v>吃藥</x:v>
      </x:c>
      <x:c r="D113" s="57" t="str"/>
      <x:c r="E113" s="57" t="str">
        <x:v>括號選用字</x:v>
      </x:c>
      <x:c r="F113" s="57" t="str">
        <x:v>take (the) medicine</x:v>
      </x:c>
      <x:c r="G113" s="57" t="str">
        <x:v>確認括號內容是否朗讀；必要時拆成兩段</x:v>
      </x:c>
      <x:c r="H113" s="70" t="str">
        <x:v>待確認</x:v>
      </x:c>
      <x:c r="I113" s="70" t="str">
        <x:v>Book 3 Unit 1-2</x:v>
      </x:c>
      <x:c r="J113" s="76" t="n">
        <x:v>1</x:v>
      </x:c>
      <x:c r="K113" s="57" t="str">
        <x:v>take (the) medicine</x:v>
      </x:c>
    </x:row>
    <x:row r="114" ht="15" hidden="0" customHeight="1">
      <x:c r="A114" s="70" t="str">
        <x:v>S-109</x:v>
      </x:c>
      <x:c r="B114" s="57" t="str">
        <x:v>take a break / rest</x:v>
      </x:c>
      <x:c r="C114" s="57" t="str">
        <x:v>休息</x:v>
      </x:c>
      <x:c r="D114" s="57" t="str"/>
      <x:c r="E114" s="57" t="str">
        <x:v>斜線替代寫法</x:v>
      </x:c>
      <x:c r="F114" s="57" t="str">
        <x:v>take a break or rest</x:v>
      </x:c>
      <x:c r="G114" s="57" t="str">
        <x:v>確認要朗讀全部選項，或拆成多段音檔</x:v>
      </x:c>
      <x:c r="H114" s="70" t="str">
        <x:v>待確認</x:v>
      </x:c>
      <x:c r="I114" s="70" t="str">
        <x:v>Book 4 Unit 5-6</x:v>
      </x:c>
      <x:c r="J114" s="76" t="n">
        <x:v>1</x:v>
      </x:c>
      <x:c r="K114" s="57" t="str">
        <x:v>take a break / rest</x:v>
      </x:c>
    </x:row>
    <x:row r="115" ht="15" hidden="0" customHeight="1">
      <x:c r="A115" s="70" t="str">
        <x:v>S-110</x:v>
      </x:c>
      <x:c r="B115" s="57" t="str">
        <x:v>take a look / nap / walk / bath</x:v>
      </x:c>
      <x:c r="C115" s="57" t="str">
        <x:v>看一看 / 小睡 / 散步 / 泡澡</x:v>
      </x:c>
      <x:c r="D115" s="57" t="str"/>
      <x:c r="E115" s="57" t="str">
        <x:v>斜線替代寫法</x:v>
      </x:c>
      <x:c r="F115" s="57" t="str">
        <x:v>take a look or nap or walk or bath</x:v>
      </x:c>
      <x:c r="G115" s="57" t="str">
        <x:v>確認要朗讀全部選項，或拆成多段音檔</x:v>
      </x:c>
      <x:c r="H115" s="70" t="str">
        <x:v>待確認</x:v>
      </x:c>
      <x:c r="I115" s="70" t="str">
        <x:v>Book 4 Unit 5-6</x:v>
      </x:c>
      <x:c r="J115" s="76" t="n">
        <x:v>1</x:v>
      </x:c>
      <x:c r="K115" s="57" t="str">
        <x:v>take a look / nap / walk / bath</x:v>
      </x:c>
    </x:row>
    <x:row r="116" ht="15" hidden="0" customHeight="1">
      <x:c r="A116" s="70" t="str">
        <x:v>S-111</x:v>
      </x:c>
      <x:c r="B116" s="57" t="str">
        <x:v>take action / up</x:v>
      </x:c>
      <x:c r="C116" s="57" t="str">
        <x:v>採取行動 / 開始從事</x:v>
      </x:c>
      <x:c r="D116" s="57" t="str"/>
      <x:c r="E116" s="57" t="str">
        <x:v>斜線替代寫法</x:v>
      </x:c>
      <x:c r="F116" s="57" t="str">
        <x:v>take action or up</x:v>
      </x:c>
      <x:c r="G116" s="57" t="str">
        <x:v>確認要朗讀全部選項，或拆成多段音檔</x:v>
      </x:c>
      <x:c r="H116" s="70" t="str">
        <x:v>待確認</x:v>
      </x:c>
      <x:c r="I116" s="70" t="str">
        <x:v>Book 4 Unit 5-6</x:v>
      </x:c>
      <x:c r="J116" s="76" t="n">
        <x:v>1</x:v>
      </x:c>
      <x:c r="K116" s="57" t="str">
        <x:v>take action / up</x:v>
      </x:c>
    </x:row>
    <x:row r="117" ht="15" hidden="0" customHeight="1">
      <x:c r="A117" s="70" t="str">
        <x:v>S-112</x:v>
      </x:c>
      <x:c r="B117" s="57" t="str">
        <x:v>take out the trash / garbage</x:v>
      </x:c>
      <x:c r="C117" s="57" t="str">
        <x:v>倒垃圾</x:v>
      </x:c>
      <x:c r="D117" s="57" t="str"/>
      <x:c r="E117" s="57" t="str">
        <x:v>斜線替代寫法</x:v>
      </x:c>
      <x:c r="F117" s="57" t="str">
        <x:v>take out the trash or garbage</x:v>
      </x:c>
      <x:c r="G117" s="57" t="str">
        <x:v>確認要朗讀全部選項，或拆成多段音檔</x:v>
      </x:c>
      <x:c r="H117" s="70" t="str">
        <x:v>待確認</x:v>
      </x:c>
      <x:c r="I117" s="70" t="str">
        <x:v>Book 5 Unit 3-4</x:v>
      </x:c>
      <x:c r="J117" s="76" t="n">
        <x:v>1</x:v>
      </x:c>
      <x:c r="K117" s="57" t="str">
        <x:v>take out the trash / garbage</x:v>
      </x:c>
    </x:row>
    <x:row r="118" ht="15" hidden="0" customHeight="1">
      <x:c r="A118" s="70" t="str">
        <x:v>S-113</x:v>
      </x:c>
      <x:c r="B118" s="57" t="str">
        <x:v>take seriously / hard</x:v>
      </x:c>
      <x:c r="C118" s="57" t="str">
        <x:v>認真看待 / 受到沉重打擊</x:v>
      </x:c>
      <x:c r="D118" s="57" t="str"/>
      <x:c r="E118" s="57" t="str">
        <x:v>斜線替代寫法</x:v>
      </x:c>
      <x:c r="F118" s="57" t="str">
        <x:v>take seriously or hard</x:v>
      </x:c>
      <x:c r="G118" s="57" t="str">
        <x:v>確認要朗讀全部選項，或拆成多段音檔</x:v>
      </x:c>
      <x:c r="H118" s="70" t="str">
        <x:v>待確認</x:v>
      </x:c>
      <x:c r="I118" s="70" t="str">
        <x:v>Book 4 Unit 5-6</x:v>
      </x:c>
      <x:c r="J118" s="76" t="n">
        <x:v>1</x:v>
      </x:c>
      <x:c r="K118" s="57" t="str">
        <x:v>take seriously / hard</x:v>
      </x:c>
    </x:row>
    <x:row r="119" ht="15" hidden="0" customHeight="1">
      <x:c r="A119" s="70" t="str">
        <x:v>S-114</x:v>
      </x:c>
      <x:c r="B119" s="57" t="str">
        <x:v>take turns / notes / pictures</x:v>
      </x:c>
      <x:c r="C119" s="57" t="str">
        <x:v>輪流 / 記筆記 / 拍照</x:v>
      </x:c>
      <x:c r="D119" s="57" t="str"/>
      <x:c r="E119" s="57" t="str">
        <x:v>斜線替代寫法</x:v>
      </x:c>
      <x:c r="F119" s="57" t="str">
        <x:v>take turns or notes or pictures</x:v>
      </x:c>
      <x:c r="G119" s="57" t="str">
        <x:v>確認要朗讀全部選項，或拆成多段音檔</x:v>
      </x:c>
      <x:c r="H119" s="70" t="str">
        <x:v>待確認</x:v>
      </x:c>
      <x:c r="I119" s="70" t="str">
        <x:v>Book 4 Unit 5-6</x:v>
      </x:c>
      <x:c r="J119" s="76" t="n">
        <x:v>1</x:v>
      </x:c>
      <x:c r="K119" s="57" t="str">
        <x:v>take turns / notes / pictures</x:v>
      </x:c>
    </x:row>
    <x:row r="120" ht="15" hidden="0" customHeight="1">
      <x:c r="A120" s="70" t="str">
        <x:v>S-115</x:v>
      </x:c>
      <x:c r="B120" s="57" t="str">
        <x:v>team up with...</x:v>
      </x:c>
      <x:c r="C120" s="57" t="str">
        <x:v>與......組隊</x:v>
      </x:c>
      <x:c r="D120" s="57" t="str"/>
      <x:c r="E120" s="57" t="str">
        <x:v>省略號／未完成形式</x:v>
      </x:c>
      <x:c r="F120" s="57" t="str">
        <x:v>team up with something</x:v>
      </x:c>
      <x:c r="G120" s="57" t="str">
        <x:v>確認朗讀草案後再產生</x:v>
      </x:c>
      <x:c r="H120" s="70" t="str">
        <x:v>待確認</x:v>
      </x:c>
      <x:c r="I120" s="70" t="str">
        <x:v>Book 2 Unit 3-4</x:v>
      </x:c>
      <x:c r="J120" s="76" t="n">
        <x:v>1</x:v>
      </x:c>
      <x:c r="K120" s="57" t="str">
        <x:v>team up with...</x:v>
      </x:c>
    </x:row>
    <x:row r="121" ht="15" hidden="0" customHeight="1">
      <x:c r="A121" s="70" t="str">
        <x:v>S-116</x:v>
      </x:c>
      <x:c r="B121" s="57" t="str">
        <x:v>television (TV)</x:v>
      </x:c>
      <x:c r="C121" s="57" t="str">
        <x:v>電視</x:v>
      </x:c>
      <x:c r="D121" s="57" t="str">
        <x:v>n.</x:v>
      </x:c>
      <x:c r="E121" s="57" t="str">
        <x:v>括號選用字</x:v>
      </x:c>
      <x:c r="F121" s="57" t="str">
        <x:v>television (TV)</x:v>
      </x:c>
      <x:c r="G121" s="57" t="str">
        <x:v>確認括號內容是否朗讀；必要時拆成兩段</x:v>
      </x:c>
      <x:c r="H121" s="70" t="str">
        <x:v>待確認</x:v>
      </x:c>
      <x:c r="I121" s="70" t="str">
        <x:v>Book 6 Unit 3-4</x:v>
      </x:c>
      <x:c r="J121" s="76" t="n">
        <x:v>1</x:v>
      </x:c>
      <x:c r="K121" s="57" t="str">
        <x:v>television (tv)</x:v>
      </x:c>
    </x:row>
    <x:row r="122" ht="15" hidden="0" customHeight="1">
      <x:c r="A122" s="70" t="str">
        <x:v>S-117</x:v>
      </x:c>
      <x:c r="B122" s="57" t="str">
        <x:v>Thank goodness / God.</x:v>
      </x:c>
      <x:c r="C122" s="57" t="str">
        <x:v>謝天謝地。</x:v>
      </x:c>
      <x:c r="D122" s="57" t="str"/>
      <x:c r="E122" s="57" t="str">
        <x:v>斜線替代寫法</x:v>
      </x:c>
      <x:c r="F122" s="57" t="str">
        <x:v>Thank goodness or God.</x:v>
      </x:c>
      <x:c r="G122" s="57" t="str">
        <x:v>確認要朗讀全部選項，或拆成多段音檔</x:v>
      </x:c>
      <x:c r="H122" s="70" t="str">
        <x:v>待確認</x:v>
      </x:c>
      <x:c r="I122" s="70" t="str">
        <x:v>Book 6 Unit 1-2</x:v>
      </x:c>
      <x:c r="J122" s="76" t="n">
        <x:v>1</x:v>
      </x:c>
      <x:c r="K122" s="57" t="str">
        <x:v>thank goodness / god.</x:v>
      </x:c>
    </x:row>
    <x:row r="123" ht="15" hidden="0" customHeight="1">
      <x:c r="A123" s="70" t="str">
        <x:v>S-118</x:v>
      </x:c>
      <x:c r="B123" s="57" t="str">
        <x:v>turn around / over</x:v>
      </x:c>
      <x:c r="C123" s="57" t="str">
        <x:v>迴轉 / 翻覆</x:v>
      </x:c>
      <x:c r="D123" s="57" t="str"/>
      <x:c r="E123" s="57" t="str">
        <x:v>斜線替代寫法</x:v>
      </x:c>
      <x:c r="F123" s="57" t="str">
        <x:v>turn around or over</x:v>
      </x:c>
      <x:c r="G123" s="57" t="str">
        <x:v>確認要朗讀全部選項，或拆成多段音檔</x:v>
      </x:c>
      <x:c r="H123" s="70" t="str">
        <x:v>待確認</x:v>
      </x:c>
      <x:c r="I123" s="70" t="str">
        <x:v>Book 5 Unit 3-4</x:v>
      </x:c>
      <x:c r="J123" s="76" t="n">
        <x:v>1</x:v>
      </x:c>
      <x:c r="K123" s="57" t="str">
        <x:v>turn around / over</x:v>
      </x:c>
    </x:row>
    <x:row r="124" ht="15" hidden="0" customHeight="1">
      <x:c r="A124" s="70" t="str">
        <x:v>S-119</x:v>
      </x:c>
      <x:c r="B124" s="57" t="str">
        <x:v>turn right / left</x:v>
      </x:c>
      <x:c r="C124" s="57" t="str">
        <x:v>右／左轉</x:v>
      </x:c>
      <x:c r="D124" s="57" t="str"/>
      <x:c r="E124" s="57" t="str">
        <x:v>斜線替代寫法</x:v>
      </x:c>
      <x:c r="F124" s="57" t="str">
        <x:v>turn right or left</x:v>
      </x:c>
      <x:c r="G124" s="57" t="str">
        <x:v>確認要朗讀全部選項，或拆成多段音檔</x:v>
      </x:c>
      <x:c r="H124" s="70" t="str">
        <x:v>待確認</x:v>
      </x:c>
      <x:c r="I124" s="70" t="str">
        <x:v>Book 3 Unit 5-6</x:v>
      </x:c>
      <x:c r="J124" s="76" t="n">
        <x:v>1</x:v>
      </x:c>
      <x:c r="K124" s="57" t="str">
        <x:v>turn right / left</x:v>
      </x:c>
    </x:row>
    <x:row r="125" ht="15" hidden="0" customHeight="1">
      <x:c r="A125" s="70" t="str">
        <x:v>S-120</x:v>
      </x:c>
      <x:c r="B125" s="57" t="str">
        <x:v>up to...</x:v>
      </x:c>
      <x:c r="C125" s="57" t="str">
        <x:v>由……決定</x:v>
      </x:c>
      <x:c r="D125" s="57" t="str"/>
      <x:c r="E125" s="57" t="str">
        <x:v>省略號／未完成形式</x:v>
      </x:c>
      <x:c r="F125" s="57" t="str">
        <x:v>up to something</x:v>
      </x:c>
      <x:c r="G125" s="57" t="str">
        <x:v>確認朗讀草案後再產生</x:v>
      </x:c>
      <x:c r="H125" s="70" t="str">
        <x:v>待確認</x:v>
      </x:c>
      <x:c r="I125" s="70" t="str">
        <x:v>Book 5 Unit 5-6</x:v>
      </x:c>
      <x:c r="J125" s="76" t="n">
        <x:v>1</x:v>
      </x:c>
      <x:c r="K125" s="57" t="str">
        <x:v>up to...</x:v>
      </x:c>
    </x:row>
    <x:row r="126" ht="15" hidden="0" customHeight="1">
      <x:c r="A126" s="70" t="str">
        <x:v>S-121</x:v>
      </x:c>
      <x:c r="B126" s="57" t="str">
        <x:v>Wait a minute / moment.</x:v>
      </x:c>
      <x:c r="C126" s="57" t="str">
        <x:v>等一下。</x:v>
      </x:c>
      <x:c r="D126" s="57" t="str"/>
      <x:c r="E126" s="57" t="str">
        <x:v>斜線替代寫法</x:v>
      </x:c>
      <x:c r="F126" s="57" t="str">
        <x:v>Wait a minute or moment.</x:v>
      </x:c>
      <x:c r="G126" s="57" t="str">
        <x:v>確認要朗讀全部選項，或拆成多段音檔</x:v>
      </x:c>
      <x:c r="H126" s="70" t="str">
        <x:v>待確認</x:v>
      </x:c>
      <x:c r="I126" s="70" t="str">
        <x:v>Book 5 Unit 3-4</x:v>
      </x:c>
      <x:c r="J126" s="76" t="n">
        <x:v>1</x:v>
      </x:c>
      <x:c r="K126" s="57" t="str">
        <x:v>wait a minute / moment.</x:v>
      </x:c>
    </x:row>
    <x:row r="127" ht="15" hidden="0" customHeight="1">
      <x:c r="A127" s="70" t="str">
        <x:v>S-122</x:v>
      </x:c>
      <x:c r="B127" s="57" t="str">
        <x:v>wash / do the dishes</x:v>
      </x:c>
      <x:c r="C127" s="57" t="str">
        <x:v>洗碗盤</x:v>
      </x:c>
      <x:c r="D127" s="57" t="str"/>
      <x:c r="E127" s="57" t="str">
        <x:v>斜線替代寫法</x:v>
      </x:c>
      <x:c r="F127" s="57" t="str">
        <x:v>wash or do the dishes</x:v>
      </x:c>
      <x:c r="G127" s="57" t="str">
        <x:v>確認要朗讀全部選項，或拆成多段音檔</x:v>
      </x:c>
      <x:c r="H127" s="70" t="str">
        <x:v>待確認</x:v>
      </x:c>
      <x:c r="I127" s="70" t="str">
        <x:v>Book 5 Unit 3-4</x:v>
      </x:c>
      <x:c r="J127" s="76" t="n">
        <x:v>1</x:v>
      </x:c>
      <x:c r="K127" s="57" t="str">
        <x:v>wash / do the dishes</x:v>
      </x:c>
    </x:row>
    <x:row r="128" ht="15" hidden="0" customHeight="1">
      <x:c r="A128" s="70" t="str">
        <x:v>S-123</x:v>
      </x:c>
      <x:c r="B128" s="57" t="str">
        <x:v>wash clothes / do the laundry</x:v>
      </x:c>
      <x:c r="C128" s="57" t="str">
        <x:v>洗衣服</x:v>
      </x:c>
      <x:c r="D128" s="57" t="str"/>
      <x:c r="E128" s="57" t="str">
        <x:v>斜線替代寫法</x:v>
      </x:c>
      <x:c r="F128" s="57" t="str">
        <x:v>wash clothes or do the laundry</x:v>
      </x:c>
      <x:c r="G128" s="57" t="str">
        <x:v>確認要朗讀全部選項，或拆成多段音檔</x:v>
      </x:c>
      <x:c r="H128" s="70" t="str">
        <x:v>待確認</x:v>
      </x:c>
      <x:c r="I128" s="70" t="str">
        <x:v>Book 5 Unit 3-4</x:v>
      </x:c>
      <x:c r="J128" s="76" t="n">
        <x:v>1</x:v>
      </x:c>
      <x:c r="K128" s="57" t="str">
        <x:v>wash clothes / do the laundry</x:v>
      </x:c>
    </x:row>
    <x:row r="129" ht="15" hidden="0" customHeight="1">
      <x:c r="A129" s="70" t="str">
        <x:v>S-124</x:v>
      </x:c>
      <x:c r="B129" s="57" t="str">
        <x:v>wash one's face</x:v>
      </x:c>
      <x:c r="C129" s="57" t="str">
        <x:v>洗臉</x:v>
      </x:c>
      <x:c r="D129" s="57" t="str"/>
      <x:c r="E129" s="57" t="str">
        <x:v>抽象代名詞／所有格</x:v>
      </x:c>
      <x:c r="F129" s="57" t="str">
        <x:v>wash one's face</x:v>
      </x:c>
      <x:c r="G129" s="57" t="str">
        <x:v>確認朗讀草案後再產生</x:v>
      </x:c>
      <x:c r="H129" s="70" t="str">
        <x:v>待確認</x:v>
      </x:c>
      <x:c r="I129" s="70" t="str">
        <x:v>Book 2 Unit 1-2</x:v>
      </x:c>
      <x:c r="J129" s="76" t="n">
        <x:v>1</x:v>
      </x:c>
      <x:c r="K129" s="57" t="str">
        <x:v>wash one's face</x:v>
      </x:c>
    </x:row>
    <x:row r="130" ht="15" hidden="0" customHeight="1">
      <x:c r="A130" s="70" t="str">
        <x:v>S-125</x:v>
      </x:c>
      <x:c r="B130" s="57" t="str">
        <x:v>What's up? / What's wrong?</x:v>
      </x:c>
      <x:c r="C130" s="57" t="str">
        <x:v>怎麼了？</x:v>
      </x:c>
      <x:c r="D130" s="57" t="str"/>
      <x:c r="E130" s="57" t="str">
        <x:v>斜線替代寫法</x:v>
      </x:c>
      <x:c r="F130" s="57" t="str">
        <x:v>What's up? or What's wrong?</x:v>
      </x:c>
      <x:c r="G130" s="57" t="str">
        <x:v>確認要朗讀全部選項，或拆成多段音檔</x:v>
      </x:c>
      <x:c r="H130" s="70" t="str">
        <x:v>待確認</x:v>
      </x:c>
      <x:c r="I130" s="70" t="str">
        <x:v>Book 2 Unit 5-6</x:v>
      </x:c>
      <x:c r="J130" s="76" t="n">
        <x:v>1</x:v>
      </x:c>
      <x:c r="K130" s="57" t="str">
        <x:v>what's up? / what's wrong?</x:v>
      </x:c>
    </x:row>
    <x:row r="131" ht="15" hidden="0" customHeight="1">
      <x:c r="A131" s="70" t="str">
        <x:v>S-126</x:v>
      </x:c>
      <x:c r="B131" s="57" t="str">
        <x:v>work out / pick on</x:v>
      </x:c>
      <x:c r="C131" s="57" t="str">
        <x:v>解決 / 找碴</x:v>
      </x:c>
      <x:c r="D131" s="57" t="str"/>
      <x:c r="E131" s="57" t="str">
        <x:v>斜線替代寫法</x:v>
      </x:c>
      <x:c r="F131" s="57" t="str">
        <x:v>work out or pick on</x:v>
      </x:c>
      <x:c r="G131" s="57" t="str">
        <x:v>確認要朗讀全部選項，或拆成多段音檔</x:v>
      </x:c>
      <x:c r="H131" s="70" t="str">
        <x:v>待確認</x:v>
      </x:c>
      <x:c r="I131" s="70" t="str">
        <x:v>Book 4 Unit 5-6</x:v>
      </x:c>
      <x:c r="J131" s="76" t="n">
        <x:v>1</x:v>
      </x:c>
      <x:c r="K131" s="57" t="str">
        <x:v>work out / pick on</x:v>
      </x:c>
    </x:row>
  </x:sheetData>
  <x:mergeCells>
    <x:mergeCell ref="A1:K1"/>
    <x:mergeCell ref="A2:K2"/>
    <x:mergeCell ref="A4:K4"/>
  </x:mergeCells>
  <x:conditionalFormatting sqref="H6:H131">
    <x:cfRule type="containsText" dxfId="6" priority="1" operator="containsText" text="待"/>
    <x:cfRule type="containsText" dxfId="7" priority="2" operator="containsText" text="已確認"/>
    <x:cfRule type="containsText" dxfId="8" priority="3" operator="containsText" text="需修改"/>
  </x:conditionalFormatting>
  <x:dataValidations count="1">
    <x:dataValidation type="list" sqref="H6:H131">
      <x:formula1>"待確認,已確認,需修改,不處理"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7" hidden="0" customWidth="1"/>
    <x:col min="3" max="3" width="32" hidden="0" customWidth="1"/>
    <x:col min="4" max="4" width="17" hidden="0" customWidth="1"/>
    <x:col min="5" max="5" width="40" hidden="0" customWidth="1"/>
    <x:col min="6" max="6" width="40" hidden="0" customWidth="1"/>
    <x:col min="7" max="7" width="31" hidden="0" customWidth="1"/>
    <x:col min="8" max="8" width="13" hidden="0" customWidth="1"/>
    <x:col min="9" max="9" width="29" hidden="0" customWidth="1"/>
    <x:col min="10" max="10" width="11" hidden="0" customWidth="1"/>
  </x:cols>
  <x:sheetData>
    <x:row r="1" ht="34" customHeight="1">
      <x:c r="A1" s="4" t="str">
        <x:v>同字異音候選：24 個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8" t="str">
        <x:v>即使畫面只顯示同一個拼字，也可能需要依詞性、時態或中文意思指定不同發音。此頁是第一輪風險清單。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>
      <x:c r="A4" s="65" t="str">
        <x:v>正式轉檔時，會使用獨立 pronunciation key 與發音提示；不會只用拼字覆蓋同名音檔。</x:v>
      </x:c>
      <x:c r="B4" s="65"/>
      <x:c r="C4" s="65"/>
      <x:c r="D4" s="65"/>
      <x:c r="E4" s="65"/>
      <x:c r="F4" s="65"/>
      <x:c r="G4" s="65"/>
      <x:c r="H4" s="65"/>
      <x:c r="I4" s="65"/>
      <x:c r="J4" s="65"/>
    </x:row>
    <x:row r="5" ht="30" customHeight="1">
      <x:c r="A5" s="48" t="str">
        <x:v>審核 ID</x:v>
      </x:c>
      <x:c r="B5" s="49" t="str">
        <x:v>單字</x:v>
      </x:c>
      <x:c r="C5" s="49" t="str">
        <x:v>教材中文意思</x:v>
      </x:c>
      <x:c r="D5" s="49" t="str">
        <x:v>教材詞性</x:v>
      </x:c>
      <x:c r="E5" s="49" t="str">
        <x:v>可能的發音差異</x:v>
      </x:c>
      <x:c r="F5" s="49" t="str">
        <x:v>建議處理</x:v>
      </x:c>
      <x:c r="G5" s="49" t="str">
        <x:v>pronunciation key 草案</x:v>
      </x:c>
      <x:c r="H5" s="49" t="str">
        <x:v>審核狀態</x:v>
      </x:c>
      <x:c r="I5" s="49" t="str">
        <x:v>來源</x:v>
      </x:c>
      <x:c r="J5" s="50" t="str">
        <x:v>出現次數</x:v>
      </x:c>
    </x:row>
    <x:row r="6" ht="24" hidden="0" customHeight="1">
      <x:c r="A6" s="69" t="str">
        <x:v>H-001</x:v>
      </x:c>
      <x:c r="B6" s="69" t="str">
        <x:v>address</x:v>
      </x:c>
      <x:c r="C6" s="56" t="str">
        <x:v>住址；發表(演說或講話)</x:v>
      </x:c>
      <x:c r="D6" s="56" t="str">
        <x:v>n./v.</x:v>
      </x:c>
      <x:c r="E6" s="56" t="str">
        <x:v>名詞：住址；動詞：發表演說／處理</x:v>
      </x:c>
      <x:c r="F6" s="56" t="str">
        <x:v>依詞性分檔；名詞通常首音節重讀，動詞通常後音節重讀</x:v>
      </x:c>
      <x:c r="G6" s="56" t="str">
        <x:v>address_請依詞性或意思命名</x:v>
      </x:c>
      <x:c r="H6" s="69" t="str">
        <x:v>待確認</x:v>
      </x:c>
      <x:c r="I6" s="69" t="str">
        <x:v>進階 L83</x:v>
      </x:c>
      <x:c r="J6" s="75" t="n">
        <x:v>1</x:v>
      </x:c>
    </x:row>
    <x:row r="7" ht="24" hidden="0" customHeight="1">
      <x:c r="A7" s="70" t="str">
        <x:v>H-002</x:v>
      </x:c>
      <x:c r="B7" s="70" t="str">
        <x:v>bow</x:v>
      </x:c>
      <x:c r="C7" s="57" t="str">
        <x:v>蝴蝶結；鞠躬</x:v>
      </x:c>
      <x:c r="D7" s="57" t="str">
        <x:v>n.</x:v>
      </x:c>
      <x:c r="E7" s="57" t="str">
        <x:v>蝴蝶結 /boʊ/；鞠躬 /baʊ/</x:v>
      </x:c>
      <x:c r="F7" s="57" t="str">
        <x:v>必須依中文意思分成兩個 pronunciation key</x:v>
      </x:c>
      <x:c r="G7" s="57" t="str">
        <x:v>bow_請依詞性或意思命名</x:v>
      </x:c>
      <x:c r="H7" s="70" t="str">
        <x:v>待確認</x:v>
      </x:c>
      <x:c r="I7" s="70" t="str">
        <x:v>Book 4 Unit 3-4；Book 4 Unit 5-6；進階 L64</x:v>
      </x:c>
      <x:c r="J7" s="76" t="n">
        <x:v>4</x:v>
      </x:c>
    </x:row>
    <x:row r="8" ht="24" hidden="0" customHeight="1">
      <x:c r="A8" s="70" t="str">
        <x:v>H-003</x:v>
      </x:c>
      <x:c r="B8" s="70" t="str">
        <x:v>close</x:v>
      </x:c>
      <x:c r="C8" s="57" t="str">
        <x:v>關上；接近的；親近的；接近的；親近的；靠近地；關閉</x:v>
      </x:c>
      <x:c r="D8" s="57" t="str">
        <x:v>v. / adj. / adj./adv./v.</x:v>
      </x:c>
      <x:c r="E8" s="57" t="str">
        <x:v>形容詞 /kloʊs/；動詞 /kloʊz/</x:v>
      </x:c>
      <x:c r="F8" s="57" t="str">
        <x:v>必須依詞性分檔</x:v>
      </x:c>
      <x:c r="G8" s="57" t="str">
        <x:v>close_請依詞性或意思命名</x:v>
      </x:c>
      <x:c r="H8" s="70" t="str">
        <x:v>待確認</x:v>
      </x:c>
      <x:c r="I8" s="70" t="str">
        <x:v>Book 1 Unit 4-6；Book 4 Unit 3-4；進階 L114</x:v>
      </x:c>
      <x:c r="J8" s="76" t="n">
        <x:v>4</x:v>
      </x:c>
    </x:row>
    <x:row r="9" ht="15" hidden="0" customHeight="1">
      <x:c r="A9" s="70" t="str">
        <x:v>H-004</x:v>
      </x:c>
      <x:c r="B9" s="70" t="str">
        <x:v>decrease</x:v>
      </x:c>
      <x:c r="C9" s="57" t="str">
        <x:v>減少</x:v>
      </x:c>
      <x:c r="D9" s="57" t="str">
        <x:v>n./v.</x:v>
      </x:c>
      <x:c r="E9" s="57" t="str">
        <x:v>名詞首音節重讀；動詞後音節重讀</x:v>
      </x:c>
      <x:c r="F9" s="57" t="str">
        <x:v>依詞性分檔</x:v>
      </x:c>
      <x:c r="G9" s="57" t="str">
        <x:v>decrease_請依詞性或意思命名</x:v>
      </x:c>
      <x:c r="H9" s="70" t="str">
        <x:v>待確認</x:v>
      </x:c>
      <x:c r="I9" s="70" t="str">
        <x:v>進階 L9</x:v>
      </x:c>
      <x:c r="J9" s="76" t="n">
        <x:v>1</x:v>
      </x:c>
    </x:row>
    <x:row r="10" ht="15" hidden="0" customHeight="1">
      <x:c r="A10" s="70" t="str">
        <x:v>H-005</x:v>
      </x:c>
      <x:c r="B10" s="70" t="str">
        <x:v>desert</x:v>
      </x:c>
      <x:c r="C10" s="57" t="str">
        <x:v>沙漠；沙漠的</x:v>
      </x:c>
      <x:c r="D10" s="57" t="str">
        <x:v>n./adj.</x:v>
      </x:c>
      <x:c r="E10" s="57" t="str">
        <x:v>沙漠 /ˈdezərt/；遺棄 /dɪˈzɜːrt/</x:v>
      </x:c>
      <x:c r="F10" s="57" t="str">
        <x:v>若資料只表示沙漠，保留名詞發音；混合詞性時拆分</x:v>
      </x:c>
      <x:c r="G10" s="57" t="str">
        <x:v>desert_請依詞性或意思命名</x:v>
      </x:c>
      <x:c r="H10" s="70" t="str">
        <x:v>待確認</x:v>
      </x:c>
      <x:c r="I10" s="70" t="str">
        <x:v>進階 L108</x:v>
      </x:c>
      <x:c r="J10" s="76" t="n">
        <x:v>1</x:v>
      </x:c>
    </x:row>
    <x:row r="11" ht="24" hidden="0" customHeight="1">
      <x:c r="A11" s="70" t="str">
        <x:v>H-006</x:v>
      </x:c>
      <x:c r="B11" s="70" t="str">
        <x:v>does</x:v>
      </x:c>
      <x:c r="C11" s="57" t="str">
        <x:v>do 的第三人稱單數</x:v>
      </x:c>
      <x:c r="D11" s="57" t="str">
        <x:v>v./aux.</x:v>
      </x:c>
      <x:c r="E11" s="57" t="str">
        <x:v>助動詞／動詞 /dʌz/；母鹿複數 /doʊz/</x:v>
      </x:c>
      <x:c r="F11" s="57" t="str">
        <x:v>目前資料為 do 的第三人稱單數，指定 /dʌz/ 並抽聽確認</x:v>
      </x:c>
      <x:c r="G11" s="57" t="str">
        <x:v>does_請依詞性或意思命名</x:v>
      </x:c>
      <x:c r="H11" s="70" t="str">
        <x:v>待確認</x:v>
      </x:c>
      <x:c r="I11" s="70" t="str">
        <x:v>進階 L122</x:v>
      </x:c>
      <x:c r="J11" s="76" t="n">
        <x:v>1</x:v>
      </x:c>
    </x:row>
    <x:row r="12" ht="15" hidden="0" customHeight="1">
      <x:c r="A12" s="70" t="str">
        <x:v>H-007</x:v>
      </x:c>
      <x:c r="B12" s="70" t="str">
        <x:v>entrance</x:v>
      </x:c>
      <x:c r="C12" s="57" t="str">
        <x:v>入口；使出神</x:v>
      </x:c>
      <x:c r="D12" s="57" t="str">
        <x:v>n./v.</x:v>
      </x:c>
      <x:c r="E12" s="57" t="str">
        <x:v>入口 /ˈentrəns/；使著迷 /ɪnˈtræns/</x:v>
      </x:c>
      <x:c r="F12" s="57" t="str">
        <x:v>必須依意思分檔</x:v>
      </x:c>
      <x:c r="G12" s="57" t="str">
        <x:v>entrance_請依詞性或意思命名</x:v>
      </x:c>
      <x:c r="H12" s="70" t="str">
        <x:v>待確認</x:v>
      </x:c>
      <x:c r="I12" s="70" t="str">
        <x:v>進階 L83</x:v>
      </x:c>
      <x:c r="J12" s="76" t="n">
        <x:v>1</x:v>
      </x:c>
    </x:row>
    <x:row r="13" ht="15" hidden="0" customHeight="1">
      <x:c r="A13" s="70" t="str">
        <x:v>H-008</x:v>
      </x:c>
      <x:c r="B13" s="70" t="str">
        <x:v>house</x:v>
      </x:c>
      <x:c r="C13" s="57" t="str">
        <x:v>房子</x:v>
      </x:c>
      <x:c r="D13" s="57" t="str">
        <x:v>n.</x:v>
      </x:c>
      <x:c r="E13" s="57" t="str">
        <x:v>名詞房子 /haʊs/；動詞提供住處 /haʊz/</x:v>
      </x:c>
      <x:c r="F13" s="57" t="str">
        <x:v>目前資料為名詞房子，指定 /haʊs/ 並抽聽確認</x:v>
      </x:c>
      <x:c r="G13" s="57" t="str">
        <x:v>house_請依詞性或意思命名</x:v>
      </x:c>
      <x:c r="H13" s="70" t="str">
        <x:v>待確認</x:v>
      </x:c>
      <x:c r="I13" s="70" t="str">
        <x:v>Book 1 Unit 4-6；進階 L67</x:v>
      </x:c>
      <x:c r="J13" s="76" t="n">
        <x:v>2</x:v>
      </x:c>
    </x:row>
    <x:row r="14" ht="15" hidden="0" customHeight="1">
      <x:c r="A14" s="70" t="str">
        <x:v>H-009</x:v>
      </x:c>
      <x:c r="B14" s="70" t="str">
        <x:v>increase</x:v>
      </x:c>
      <x:c r="C14" s="57" t="str">
        <x:v>增加</x:v>
      </x:c>
      <x:c r="D14" s="57" t="str">
        <x:v>n./v.</x:v>
      </x:c>
      <x:c r="E14" s="57" t="str">
        <x:v>名詞首音節重讀；動詞後音節重讀</x:v>
      </x:c>
      <x:c r="F14" s="57" t="str">
        <x:v>依詞性分檔</x:v>
      </x:c>
      <x:c r="G14" s="57" t="str">
        <x:v>increase_請依詞性或意思命名</x:v>
      </x:c>
      <x:c r="H14" s="70" t="str">
        <x:v>待確認</x:v>
      </x:c>
      <x:c r="I14" s="70" t="str">
        <x:v>進階 L9</x:v>
      </x:c>
      <x:c r="J14" s="76" t="n">
        <x:v>1</x:v>
      </x:c>
    </x:row>
    <x:row r="15" ht="15" hidden="0" customHeight="1">
      <x:c r="A15" s="70" t="str">
        <x:v>H-010</x:v>
      </x:c>
      <x:c r="B15" s="70" t="str">
        <x:v>lead</x:v>
      </x:c>
      <x:c r="C15" s="57" t="str">
        <x:v>帶領</x:v>
      </x:c>
      <x:c r="D15" s="57" t="str">
        <x:v>n.</x:v>
      </x:c>
      <x:c r="E15" s="57" t="str">
        <x:v>帶領 /liːd/；鉛 /led/</x:v>
      </x:c>
      <x:c r="F15" s="57" t="str">
        <x:v>目前資料為帶領，指定 /liːd/ 並抽聽確認</x:v>
      </x:c>
      <x:c r="G15" s="57" t="str">
        <x:v>lead_請依詞性或意思命名</x:v>
      </x:c>
      <x:c r="H15" s="70" t="str">
        <x:v>待確認</x:v>
      </x:c>
      <x:c r="I15" s="70" t="str">
        <x:v>Book 5 Unit 1-2；進階 L7</x:v>
      </x:c>
      <x:c r="J15" s="76" t="n">
        <x:v>2</x:v>
      </x:c>
    </x:row>
    <x:row r="16" ht="15" hidden="0" customHeight="1">
      <x:c r="A16" s="70" t="str">
        <x:v>H-011</x:v>
      </x:c>
      <x:c r="B16" s="70" t="str">
        <x:v>live</x:v>
      </x:c>
      <x:c r="C16" s="57" t="str">
        <x:v>居住</x:v>
      </x:c>
      <x:c r="D16" s="57" t="str">
        <x:v>v.</x:v>
      </x:c>
      <x:c r="E16" s="57" t="str">
        <x:v>居住 /lɪv/；現場的／直播 /laɪv/</x:v>
      </x:c>
      <x:c r="F16" s="57" t="str">
        <x:v>目前資料為動詞居住，指定 /lɪv/ 並抽聽確認</x:v>
      </x:c>
      <x:c r="G16" s="57" t="str">
        <x:v>live_請依詞性或意思命名</x:v>
      </x:c>
      <x:c r="H16" s="70" t="str">
        <x:v>待確認</x:v>
      </x:c>
      <x:c r="I16" s="70" t="str">
        <x:v>Book 2 Unit 5-6；進階 L27</x:v>
      </x:c>
      <x:c r="J16" s="76" t="n">
        <x:v>2</x:v>
      </x:c>
    </x:row>
    <x:row r="17" ht="15" hidden="0" customHeight="1">
      <x:c r="A17" s="70" t="str">
        <x:v>H-012</x:v>
      </x:c>
      <x:c r="B17" s="70" t="str">
        <x:v>minute</x:v>
      </x:c>
      <x:c r="C17" s="57" t="str">
        <x:v>分鐘</x:v>
      </x:c>
      <x:c r="D17" s="57" t="str">
        <x:v>n.</x:v>
      </x:c>
      <x:c r="E17" s="57" t="str">
        <x:v>分鐘 /ˈmɪnɪt/；極小的 /maɪˈnuːt/</x:v>
      </x:c>
      <x:c r="F17" s="57" t="str">
        <x:v>目前資料為分鐘，指定 /ˈmɪnɪt/ 並抽聽確認</x:v>
      </x:c>
      <x:c r="G17" s="57" t="str">
        <x:v>minute_請依詞性或意思命名</x:v>
      </x:c>
      <x:c r="H17" s="70" t="str">
        <x:v>待確認</x:v>
      </x:c>
      <x:c r="I17" s="70" t="str">
        <x:v>Book 3 Unit 5-6；進階 L35</x:v>
      </x:c>
      <x:c r="J17" s="76" t="n">
        <x:v>2</x:v>
      </x:c>
    </x:row>
    <x:row r="18" ht="15" hidden="0" customHeight="1">
      <x:c r="A18" s="70" t="str">
        <x:v>H-013</x:v>
      </x:c>
      <x:c r="B18" s="70" t="str">
        <x:v>object</x:v>
      </x:c>
      <x:c r="C18" s="57" t="str">
        <x:v>物體；反對</x:v>
      </x:c>
      <x:c r="D18" s="57" t="str">
        <x:v>n./v.</x:v>
      </x:c>
      <x:c r="E18" s="57" t="str">
        <x:v>物體 /ˈɑːbdʒekt/；反對 /əbˈdʒekt/</x:v>
      </x:c>
      <x:c r="F18" s="57" t="str">
        <x:v>必須依詞性分檔</x:v>
      </x:c>
      <x:c r="G18" s="57" t="str">
        <x:v>object_請依詞性或意思命名</x:v>
      </x:c>
      <x:c r="H18" s="70" t="str">
        <x:v>待確認</x:v>
      </x:c>
      <x:c r="I18" s="70" t="str">
        <x:v>進階 L58</x:v>
      </x:c>
      <x:c r="J18" s="76" t="n">
        <x:v>1</x:v>
      </x:c>
    </x:row>
    <x:row r="19" ht="24" hidden="0" customHeight="1">
      <x:c r="A19" s="70" t="str">
        <x:v>H-014</x:v>
      </x:c>
      <x:c r="B19" s="70" t="str">
        <x:v>present</x:v>
      </x:c>
      <x:c r="C19" s="57" t="str">
        <x:v>禮物；展現；出席的；現在</x:v>
      </x:c>
      <x:c r="D19" s="57" t="str">
        <x:v>n. / adj.</x:v>
      </x:c>
      <x:c r="E19" s="57" t="str">
        <x:v>名詞／形容詞 /ˈprezənt/；動詞 /prɪˈzent/</x:v>
      </x:c>
      <x:c r="F19" s="57" t="str">
        <x:v>必須依詞性分檔</x:v>
      </x:c>
      <x:c r="G19" s="57" t="str">
        <x:v>present_請依詞性或意思命名</x:v>
      </x:c>
      <x:c r="H19" s="70" t="str">
        <x:v>待確認</x:v>
      </x:c>
      <x:c r="I19" s="70" t="str">
        <x:v>Book 5 Unit 1-2；Book 5 Unit 3-4；進階 L34</x:v>
      </x:c>
      <x:c r="J19" s="76" t="n">
        <x:v>3</x:v>
      </x:c>
    </x:row>
    <x:row r="20" ht="15" hidden="0" customHeight="1">
      <x:c r="A20" s="70" t="str">
        <x:v>H-015</x:v>
      </x:c>
      <x:c r="B20" s="70" t="str">
        <x:v>produce</x:v>
      </x:c>
      <x:c r="C20" s="57" t="str">
        <x:v>生產品；產生</x:v>
      </x:c>
      <x:c r="D20" s="57" t="str">
        <x:v>n./v.</x:v>
      </x:c>
      <x:c r="E20" s="57" t="str">
        <x:v>農產品 /ˈproʊduːs/；生產 /prəˈduːs/</x:v>
      </x:c>
      <x:c r="F20" s="57" t="str">
        <x:v>必須依詞性分檔</x:v>
      </x:c>
      <x:c r="G20" s="57" t="str">
        <x:v>produce_請依詞性或意思命名</x:v>
      </x:c>
      <x:c r="H20" s="70" t="str">
        <x:v>待確認</x:v>
      </x:c>
      <x:c r="I20" s="70" t="str">
        <x:v>進階 L9</x:v>
      </x:c>
      <x:c r="J20" s="76" t="n">
        <x:v>1</x:v>
      </x:c>
    </x:row>
    <x:row r="21" ht="15" hidden="0" customHeight="1">
      <x:c r="A21" s="70" t="str">
        <x:v>H-016</x:v>
      </x:c>
      <x:c r="B21" s="70" t="str">
        <x:v>progress</x:v>
      </x:c>
      <x:c r="C21" s="57" t="str">
        <x:v>進步</x:v>
      </x:c>
      <x:c r="D21" s="57" t="str">
        <x:v>n./v.</x:v>
      </x:c>
      <x:c r="E21" s="57" t="str">
        <x:v>名詞通常首音節重讀；動詞通常後音節重讀</x:v>
      </x:c>
      <x:c r="F21" s="57" t="str">
        <x:v>依詞性分檔並抽聽確認</x:v>
      </x:c>
      <x:c r="G21" s="57" t="str">
        <x:v>progress_請依詞性或意思命名</x:v>
      </x:c>
      <x:c r="H21" s="70" t="str">
        <x:v>待確認</x:v>
      </x:c>
      <x:c r="I21" s="70" t="str">
        <x:v>進階 L78</x:v>
      </x:c>
      <x:c r="J21" s="76" t="n">
        <x:v>1</x:v>
      </x:c>
    </x:row>
    <x:row r="22" ht="24" hidden="0" customHeight="1">
      <x:c r="A22" s="70" t="str">
        <x:v>H-017</x:v>
      </x:c>
      <x:c r="B22" s="70" t="str">
        <x:v>read</x:v>
      </x:c>
      <x:c r="C22" s="57" t="str">
        <x:v>閱讀</x:v>
      </x:c>
      <x:c r="D22" s="57" t="str">
        <x:v>v.</x:v>
      </x:c>
      <x:c r="E22" s="57" t="str">
        <x:v>現在式 /riːd/；過去式／過去分詞 /red/</x:v>
      </x:c>
      <x:c r="F22" s="57" t="str">
        <x:v>目前資料未標時態；先決定教材要採現在式或另外拆分</x:v>
      </x:c>
      <x:c r="G22" s="57" t="str">
        <x:v>read_請依詞性或意思命名</x:v>
      </x:c>
      <x:c r="H22" s="70" t="str">
        <x:v>待確認</x:v>
      </x:c>
      <x:c r="I22" s="70" t="str">
        <x:v>Book 2 Unit 1-2；進階 L77</x:v>
      </x:c>
      <x:c r="J22" s="76" t="n">
        <x:v>2</x:v>
      </x:c>
    </x:row>
    <x:row r="23" ht="15" hidden="0" customHeight="1">
      <x:c r="A23" s="70" t="str">
        <x:v>H-018</x:v>
      </x:c>
      <x:c r="B23" s="70" t="str">
        <x:v>record</x:v>
      </x:c>
      <x:c r="C23" s="57" t="str">
        <x:v>記錄；創紀錄的</x:v>
      </x:c>
      <x:c r="D23" s="57" t="str">
        <x:v>n./v./adj.</x:v>
      </x:c>
      <x:c r="E23" s="57" t="str">
        <x:v>名詞 /ˈrekərd/；動詞 /rɪˈkɔːrd/</x:v>
      </x:c>
      <x:c r="F23" s="57" t="str">
        <x:v>必須依詞性分檔</x:v>
      </x:c>
      <x:c r="G23" s="57" t="str">
        <x:v>record_請依詞性或意思命名</x:v>
      </x:c>
      <x:c r="H23" s="70" t="str">
        <x:v>待確認</x:v>
      </x:c>
      <x:c r="I23" s="70" t="str">
        <x:v>進階 L73</x:v>
      </x:c>
      <x:c r="J23" s="76" t="n">
        <x:v>1</x:v>
      </x:c>
    </x:row>
    <x:row r="24" ht="15" hidden="0" customHeight="1">
      <x:c r="A24" s="70" t="str">
        <x:v>H-019</x:v>
      </x:c>
      <x:c r="B24" s="70" t="str">
        <x:v>refuse</x:v>
      </x:c>
      <x:c r="C24" s="57" t="str">
        <x:v>拒絕；廢物</x:v>
      </x:c>
      <x:c r="D24" s="57" t="str">
        <x:v>v./n.</x:v>
      </x:c>
      <x:c r="E24" s="57" t="str">
        <x:v>廢物 /ˈrefjuːs/；拒絕 /rɪˈfjuːz/</x:v>
      </x:c>
      <x:c r="F24" s="57" t="str">
        <x:v>必須依詞性分檔</x:v>
      </x:c>
      <x:c r="G24" s="57" t="str">
        <x:v>refuse_請依詞性或意思命名</x:v>
      </x:c>
      <x:c r="H24" s="70" t="str">
        <x:v>待確認</x:v>
      </x:c>
      <x:c r="I24" s="70" t="str">
        <x:v>進階 L115</x:v>
      </x:c>
      <x:c r="J24" s="76" t="n">
        <x:v>1</x:v>
      </x:c>
    </x:row>
    <x:row r="25" ht="15" hidden="0" customHeight="1">
      <x:c r="A25" s="70" t="str">
        <x:v>H-020</x:v>
      </x:c>
      <x:c r="B25" s="70" t="str">
        <x:v>row</x:v>
      </x:c>
      <x:c r="C25" s="57" t="str">
        <x:v>列；排</x:v>
      </x:c>
      <x:c r="D25" s="57" t="str">
        <x:v>n.</x:v>
      </x:c>
      <x:c r="E25" s="57" t="str">
        <x:v>一列／划船 /roʊ/；爭吵 /raʊ/</x:v>
      </x:c>
      <x:c r="F25" s="57" t="str">
        <x:v>目前資料為列、排，指定 /roʊ/ 並抽聽確認</x:v>
      </x:c>
      <x:c r="G25" s="57" t="str">
        <x:v>row_請依詞性或意思命名</x:v>
      </x:c>
      <x:c r="H25" s="70" t="str">
        <x:v>待確認</x:v>
      </x:c>
      <x:c r="I25" s="70" t="str">
        <x:v>Book 4 Unit 3-4；進階 L100</x:v>
      </x:c>
      <x:c r="J25" s="76" t="n">
        <x:v>2</x:v>
      </x:c>
    </x:row>
    <x:row r="26" ht="15" hidden="0" customHeight="1">
      <x:c r="A26" s="70" t="str">
        <x:v>H-021</x:v>
      </x:c>
      <x:c r="B26" s="70" t="str">
        <x:v>subject</x:v>
      </x:c>
      <x:c r="C26" s="57" t="str">
        <x:v>學科</x:v>
      </x:c>
      <x:c r="D26" s="57" t="str">
        <x:v>n.</x:v>
      </x:c>
      <x:c r="E26" s="57" t="str">
        <x:v>名詞／形容詞通常首音節重讀；動詞通常後音節重讀</x:v>
      </x:c>
      <x:c r="F26" s="57" t="str">
        <x:v>若有動詞義，依詞性分檔</x:v>
      </x:c>
      <x:c r="G26" s="57" t="str">
        <x:v>subject_請依詞性或意思命名</x:v>
      </x:c>
      <x:c r="H26" s="70" t="str">
        <x:v>待確認</x:v>
      </x:c>
      <x:c r="I26" s="70" t="str">
        <x:v>Book 2 Unit 1-2；進階 L76</x:v>
      </x:c>
      <x:c r="J26" s="76" t="n">
        <x:v>2</x:v>
      </x:c>
    </x:row>
    <x:row r="27" ht="15" hidden="0" customHeight="1">
      <x:c r="A27" s="70" t="str">
        <x:v>H-022</x:v>
      </x:c>
      <x:c r="B27" s="70" t="str">
        <x:v>tear</x:v>
      </x:c>
      <x:c r="C27" s="57" t="str">
        <x:v>淚滴；流淚</x:v>
      </x:c>
      <x:c r="D27" s="57" t="str">
        <x:v>n./v.</x:v>
      </x:c>
      <x:c r="E27" s="57" t="str">
        <x:v>眼淚 /tɪr/；撕裂 /ter/</x:v>
      </x:c>
      <x:c r="F27" s="57" t="str">
        <x:v>依中文意思分檔</x:v>
      </x:c>
      <x:c r="G27" s="57" t="str">
        <x:v>tear_請依詞性或意思命名</x:v>
      </x:c>
      <x:c r="H27" s="70" t="str">
        <x:v>待確認</x:v>
      </x:c>
      <x:c r="I27" s="70" t="str">
        <x:v>進階 L22</x:v>
      </x:c>
      <x:c r="J27" s="76" t="n">
        <x:v>1</x:v>
      </x:c>
    </x:row>
    <x:row r="28" ht="15" hidden="0" customHeight="1">
      <x:c r="A28" s="70" t="str">
        <x:v>H-023</x:v>
      </x:c>
      <x:c r="B28" s="70" t="str">
        <x:v>use</x:v>
      </x:c>
      <x:c r="C28" s="57" t="str">
        <x:v>使用</x:v>
      </x:c>
      <x:c r="D28" s="57" t="str">
        <x:v>v.</x:v>
      </x:c>
      <x:c r="E28" s="57" t="str">
        <x:v>名詞 /juːs/；動詞 /juːz/</x:v>
      </x:c>
      <x:c r="F28" s="57" t="str">
        <x:v>若同時包含名詞與動詞義，依詞性分檔</x:v>
      </x:c>
      <x:c r="G28" s="57" t="str">
        <x:v>use_請依詞性或意思命名</x:v>
      </x:c>
      <x:c r="H28" s="70" t="str">
        <x:v>待確認</x:v>
      </x:c>
      <x:c r="I28" s="70" t="str">
        <x:v>Book 2 Unit 3-4；進階 L109</x:v>
      </x:c>
      <x:c r="J28" s="76" t="n">
        <x:v>2</x:v>
      </x:c>
    </x:row>
    <x:row r="29" ht="15" hidden="0" customHeight="1">
      <x:c r="A29" s="70" t="str">
        <x:v>H-024</x:v>
      </x:c>
      <x:c r="B29" s="70" t="str">
        <x:v>wind</x:v>
      </x:c>
      <x:c r="C29" s="57" t="str">
        <x:v>風</x:v>
      </x:c>
      <x:c r="D29" s="57" t="str">
        <x:v>n.</x:v>
      </x:c>
      <x:c r="E29" s="57" t="str">
        <x:v>風 /wɪnd/；纏繞 /waɪnd/</x:v>
      </x:c>
      <x:c r="F29" s="57" t="str">
        <x:v>依中文意思分檔</x:v>
      </x:c>
      <x:c r="G29" s="57" t="str">
        <x:v>wind_請依詞性或意思命名</x:v>
      </x:c>
      <x:c r="H29" s="70" t="str">
        <x:v>待確認</x:v>
      </x:c>
      <x:c r="I29" s="70" t="str">
        <x:v>Book 3 Unit 5-6；進階 L104</x:v>
      </x:c>
      <x:c r="J29" s="76" t="n">
        <x:v>2</x:v>
      </x:c>
    </x:row>
  </x:sheetData>
  <x:mergeCells>
    <x:mergeCell ref="A1:J1"/>
    <x:mergeCell ref="A2:J2"/>
    <x:mergeCell ref="A4:J4"/>
  </x:mergeCells>
  <x:conditionalFormatting sqref="H6:H29">
    <x:cfRule type="containsText" dxfId="9" priority="1" operator="containsText" text="待"/>
    <x:cfRule type="containsText" dxfId="10" priority="2" operator="containsText" text="已確認"/>
    <x:cfRule type="containsText" dxfId="11" priority="3" operator="containsText" text="需修改"/>
  </x:conditionalFormatting>
  <x:dataValidations count="1">
    <x:dataValidation type="list" sqref="H6:H29">
      <x:formula1>"待確認,已確認,需修改,不處理"</x:formula1>
    </x:dataValidation>
  </x:dataValidations>
  <x:pageMargins left="0.7" right="0.7" top="0.75" bottom="0.75" header="0.3" footer="0.3"/>
</x:worksheet>
</file>